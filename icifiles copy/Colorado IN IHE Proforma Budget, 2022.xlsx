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Resources/Program Materials/"/>
    </mc:Choice>
  </mc:AlternateContent>
  <xr:revisionPtr revIDLastSave="0" documentId="8_{31E43F28-8793-F54F-883C-ACA6556E2CE1}" xr6:coauthVersionLast="47" xr6:coauthVersionMax="47" xr10:uidLastSave="{00000000-0000-0000-0000-000000000000}"/>
  <bookViews>
    <workbookView xWindow="36400" yWindow="420" windowWidth="22720" windowHeight="14480" xr2:uid="{B269C593-FF7E-4185-89A5-BE237BFBC735}"/>
  </bookViews>
  <sheets>
    <sheet name="Community College" sheetId="1" r:id="rId1"/>
    <sheet name="Univers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3" i="2" l="1"/>
  <c r="P54" i="2"/>
  <c r="P55" i="2"/>
  <c r="P56" i="2"/>
  <c r="P57" i="2"/>
  <c r="P58" i="2"/>
  <c r="P52" i="2"/>
  <c r="P59" i="2" s="1"/>
  <c r="P30" i="2"/>
  <c r="C17" i="1"/>
  <c r="F6" i="1"/>
  <c r="G6" i="1"/>
  <c r="H6" i="1"/>
  <c r="I6" i="1"/>
  <c r="J6" i="1"/>
  <c r="K6" i="1"/>
  <c r="L6" i="1"/>
  <c r="M6" i="1"/>
  <c r="N6" i="1"/>
  <c r="O6" i="1"/>
  <c r="F5" i="1"/>
  <c r="G5" i="1"/>
  <c r="H5" i="1"/>
  <c r="I5" i="1"/>
  <c r="J5" i="1"/>
  <c r="K5" i="1"/>
  <c r="L5" i="1"/>
  <c r="M5" i="1"/>
  <c r="N5" i="1"/>
  <c r="O5" i="1"/>
  <c r="E6" i="1"/>
  <c r="E5" i="1"/>
  <c r="P60" i="2"/>
  <c r="O59" i="2"/>
  <c r="N59" i="2"/>
  <c r="M59" i="2"/>
  <c r="L59" i="2"/>
  <c r="K59" i="2"/>
  <c r="J59" i="2"/>
  <c r="I59" i="2"/>
  <c r="H59" i="2"/>
  <c r="G59" i="2"/>
  <c r="F59" i="2"/>
  <c r="E59" i="2"/>
  <c r="D59" i="2"/>
  <c r="O48" i="2"/>
  <c r="N48" i="2"/>
  <c r="M48" i="2"/>
  <c r="L48" i="2"/>
  <c r="K48" i="2"/>
  <c r="J48" i="2"/>
  <c r="I48" i="2"/>
  <c r="H48" i="2"/>
  <c r="G48" i="2"/>
  <c r="F48" i="2"/>
  <c r="E48" i="2"/>
  <c r="C46" i="2"/>
  <c r="L43" i="2"/>
  <c r="M43" i="2" s="1"/>
  <c r="N43" i="2" s="1"/>
  <c r="O43" i="2" s="1"/>
  <c r="K43" i="2"/>
  <c r="F41" i="2"/>
  <c r="H41" i="2" s="1"/>
  <c r="J41" i="2" s="1"/>
  <c r="F40" i="2"/>
  <c r="E39" i="2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E38" i="2"/>
  <c r="F38" i="2" s="1"/>
  <c r="D38" i="2"/>
  <c r="D49" i="2" s="1"/>
  <c r="D32" i="2"/>
  <c r="C31" i="2"/>
  <c r="C27" i="2"/>
  <c r="D24" i="2"/>
  <c r="D34" i="2" s="1"/>
  <c r="C22" i="2"/>
  <c r="D20" i="2"/>
  <c r="C18" i="2"/>
  <c r="O10" i="2"/>
  <c r="N10" i="2"/>
  <c r="M10" i="2"/>
  <c r="L10" i="2"/>
  <c r="K10" i="2"/>
  <c r="J10" i="2"/>
  <c r="I10" i="2"/>
  <c r="H10" i="2"/>
  <c r="P9" i="2"/>
  <c r="O9" i="2"/>
  <c r="O23" i="2" s="1"/>
  <c r="N9" i="2"/>
  <c r="N23" i="2" s="1"/>
  <c r="M9" i="2"/>
  <c r="M12" i="2" s="1"/>
  <c r="M19" i="2" s="1"/>
  <c r="L9" i="2"/>
  <c r="L12" i="2" s="1"/>
  <c r="L19" i="2" s="1"/>
  <c r="K9" i="2"/>
  <c r="K23" i="2" s="1"/>
  <c r="J9" i="2"/>
  <c r="J12" i="2" s="1"/>
  <c r="J19" i="2" s="1"/>
  <c r="I9" i="2"/>
  <c r="I12" i="2" s="1"/>
  <c r="I19" i="2" s="1"/>
  <c r="H9" i="2"/>
  <c r="H12" i="2" s="1"/>
  <c r="H19" i="2" s="1"/>
  <c r="G9" i="2"/>
  <c r="G23" i="2" s="1"/>
  <c r="F9" i="2"/>
  <c r="F12" i="2" s="1"/>
  <c r="F19" i="2" s="1"/>
  <c r="E9" i="2"/>
  <c r="E12" i="2" s="1"/>
  <c r="E19" i="2" s="1"/>
  <c r="P7" i="2"/>
  <c r="P11" i="2" l="1"/>
  <c r="F23" i="2"/>
  <c r="K12" i="2"/>
  <c r="K19" i="2" s="1"/>
  <c r="N12" i="2"/>
  <c r="N19" i="2" s="1"/>
  <c r="J23" i="2"/>
  <c r="P48" i="2"/>
  <c r="J42" i="2"/>
  <c r="L41" i="2"/>
  <c r="N41" i="2" s="1"/>
  <c r="M18" i="2"/>
  <c r="M20" i="2" s="1"/>
  <c r="I18" i="2"/>
  <c r="I20" i="2" s="1"/>
  <c r="E18" i="2"/>
  <c r="J18" i="2"/>
  <c r="J20" i="2" s="1"/>
  <c r="O18" i="2"/>
  <c r="H22" i="2"/>
  <c r="M22" i="2"/>
  <c r="L23" i="2"/>
  <c r="H31" i="2"/>
  <c r="H32" i="2" s="1"/>
  <c r="M31" i="2"/>
  <c r="M32" i="2" s="1"/>
  <c r="G38" i="2"/>
  <c r="P39" i="2"/>
  <c r="H46" i="2"/>
  <c r="H47" i="2" s="1"/>
  <c r="G12" i="2"/>
  <c r="G19" i="2" s="1"/>
  <c r="F18" i="2"/>
  <c r="F20" i="2" s="1"/>
  <c r="K18" i="2"/>
  <c r="K20" i="2" s="1"/>
  <c r="O22" i="2"/>
  <c r="O24" i="2" s="1"/>
  <c r="K22" i="2"/>
  <c r="K24" i="2" s="1"/>
  <c r="G22" i="2"/>
  <c r="G24" i="2" s="1"/>
  <c r="I22" i="2"/>
  <c r="N22" i="2"/>
  <c r="N24" i="2" s="1"/>
  <c r="H23" i="2"/>
  <c r="M23" i="2"/>
  <c r="N31" i="2"/>
  <c r="N32" i="2" s="1"/>
  <c r="J31" i="2"/>
  <c r="J32" i="2" s="1"/>
  <c r="F31" i="2"/>
  <c r="F32" i="2" s="1"/>
  <c r="I31" i="2"/>
  <c r="I32" i="2" s="1"/>
  <c r="O31" i="2"/>
  <c r="O32" i="2" s="1"/>
  <c r="H40" i="2"/>
  <c r="J40" i="2" s="1"/>
  <c r="L40" i="2" s="1"/>
  <c r="N40" i="2" s="1"/>
  <c r="I46" i="2"/>
  <c r="I47" i="2" s="1"/>
  <c r="G18" i="2"/>
  <c r="L18" i="2"/>
  <c r="L20" i="2" s="1"/>
  <c r="E22" i="2"/>
  <c r="J22" i="2"/>
  <c r="J24" i="2" s="1"/>
  <c r="I23" i="2"/>
  <c r="C26" i="2"/>
  <c r="E31" i="2"/>
  <c r="K31" i="2"/>
  <c r="K32" i="2" s="1"/>
  <c r="G40" i="2"/>
  <c r="I40" i="2" s="1"/>
  <c r="K40" i="2" s="1"/>
  <c r="M40" i="2" s="1"/>
  <c r="O40" i="2" s="1"/>
  <c r="G41" i="2"/>
  <c r="I41" i="2" s="1"/>
  <c r="O46" i="2"/>
  <c r="O47" i="2" s="1"/>
  <c r="K46" i="2"/>
  <c r="K47" i="2" s="1"/>
  <c r="G46" i="2"/>
  <c r="G47" i="2" s="1"/>
  <c r="N46" i="2"/>
  <c r="N47" i="2" s="1"/>
  <c r="J46" i="2"/>
  <c r="J47" i="2" s="1"/>
  <c r="F46" i="2"/>
  <c r="F47" i="2" s="1"/>
  <c r="L46" i="2"/>
  <c r="L47" i="2" s="1"/>
  <c r="O12" i="2"/>
  <c r="O19" i="2" s="1"/>
  <c r="H18" i="2"/>
  <c r="H20" i="2" s="1"/>
  <c r="N18" i="2"/>
  <c r="N20" i="2" s="1"/>
  <c r="F22" i="2"/>
  <c r="F24" i="2" s="1"/>
  <c r="L22" i="2"/>
  <c r="L24" i="2" s="1"/>
  <c r="L34" i="2" s="1"/>
  <c r="E23" i="2"/>
  <c r="G31" i="2"/>
  <c r="G32" i="2" s="1"/>
  <c r="L31" i="2"/>
  <c r="L32" i="2" s="1"/>
  <c r="E46" i="2"/>
  <c r="M46" i="2"/>
  <c r="M47" i="2" s="1"/>
  <c r="D61" i="2"/>
  <c r="P31" i="2" l="1"/>
  <c r="D62" i="2"/>
  <c r="D64" i="2" s="1"/>
  <c r="N34" i="2"/>
  <c r="P23" i="2"/>
  <c r="G34" i="2"/>
  <c r="J34" i="2"/>
  <c r="K34" i="2"/>
  <c r="P19" i="2"/>
  <c r="F49" i="2"/>
  <c r="F61" i="2" s="1"/>
  <c r="P22" i="2"/>
  <c r="E24" i="2"/>
  <c r="H38" i="2"/>
  <c r="G49" i="2"/>
  <c r="G61" i="2" s="1"/>
  <c r="F34" i="2"/>
  <c r="G20" i="2"/>
  <c r="P40" i="2"/>
  <c r="O34" i="2"/>
  <c r="M24" i="2"/>
  <c r="M34" i="2" s="1"/>
  <c r="P18" i="2"/>
  <c r="E20" i="2"/>
  <c r="E32" i="2"/>
  <c r="P32" i="2" s="1"/>
  <c r="G62" i="2"/>
  <c r="O20" i="2"/>
  <c r="I42" i="2"/>
  <c r="K41" i="2"/>
  <c r="E47" i="2"/>
  <c r="P46" i="2"/>
  <c r="I24" i="2"/>
  <c r="I34" i="2" s="1"/>
  <c r="H24" i="2"/>
  <c r="H34" i="2" s="1"/>
  <c r="F62" i="2" l="1"/>
  <c r="P20" i="2"/>
  <c r="I38" i="2"/>
  <c r="H49" i="2"/>
  <c r="H61" i="2" s="1"/>
  <c r="M41" i="2"/>
  <c r="O41" i="2" s="1"/>
  <c r="K42" i="2"/>
  <c r="L42" i="2" s="1"/>
  <c r="M42" i="2" s="1"/>
  <c r="N42" i="2" s="1"/>
  <c r="O42" i="2" s="1"/>
  <c r="H62" i="2"/>
  <c r="E34" i="2"/>
  <c r="P24" i="2"/>
  <c r="P34" i="2" s="1"/>
  <c r="P42" i="2"/>
  <c r="P47" i="2"/>
  <c r="E49" i="2"/>
  <c r="P41" i="2" l="1"/>
  <c r="E61" i="2"/>
  <c r="I49" i="2"/>
  <c r="I61" i="2" s="1"/>
  <c r="I62" i="2" s="1"/>
  <c r="J38" i="2"/>
  <c r="E62" i="2" l="1"/>
  <c r="E64" i="2" s="1"/>
  <c r="F64" i="2" s="1"/>
  <c r="G64" i="2" s="1"/>
  <c r="H64" i="2" s="1"/>
  <c r="I64" i="2" s="1"/>
  <c r="J49" i="2"/>
  <c r="J61" i="2" s="1"/>
  <c r="J62" i="2" s="1"/>
  <c r="K38" i="2"/>
  <c r="J64" i="2" l="1"/>
  <c r="K49" i="2"/>
  <c r="K61" i="2" s="1"/>
  <c r="K62" i="2" s="1"/>
  <c r="K64" i="2" s="1"/>
  <c r="L38" i="2"/>
  <c r="L49" i="2" l="1"/>
  <c r="L61" i="2" s="1"/>
  <c r="L62" i="2" s="1"/>
  <c r="L64" i="2" s="1"/>
  <c r="M38" i="2"/>
  <c r="M49" i="2" l="1"/>
  <c r="N38" i="2"/>
  <c r="M61" i="2" l="1"/>
  <c r="M62" i="2" s="1"/>
  <c r="M64" i="2" s="1"/>
  <c r="N49" i="2"/>
  <c r="N61" i="2" s="1"/>
  <c r="N62" i="2" s="1"/>
  <c r="O38" i="2"/>
  <c r="O49" i="2" s="1"/>
  <c r="O61" i="2" s="1"/>
  <c r="P61" i="2" s="1"/>
  <c r="P49" i="2" l="1"/>
  <c r="O62" i="2"/>
  <c r="P62" i="2"/>
  <c r="P38" i="2"/>
  <c r="N64" i="2"/>
  <c r="O64" i="2" l="1"/>
  <c r="P47" i="1" l="1"/>
  <c r="P48" i="1"/>
  <c r="P49" i="1"/>
  <c r="P50" i="1"/>
  <c r="P51" i="1"/>
  <c r="P52" i="1"/>
  <c r="P46" i="1"/>
  <c r="C38" i="1"/>
  <c r="C37" i="1"/>
  <c r="C36" i="1"/>
  <c r="C35" i="1"/>
  <c r="C34" i="1"/>
  <c r="P25" i="1" l="1"/>
  <c r="K38" i="1"/>
  <c r="C22" i="1"/>
  <c r="C14" i="1"/>
  <c r="C33" i="1"/>
  <c r="L38" i="1" l="1"/>
  <c r="M38" i="1" s="1"/>
  <c r="N38" i="1" s="1"/>
  <c r="O38" i="1" s="1"/>
  <c r="P38" i="1"/>
  <c r="O53" i="1" l="1"/>
  <c r="N53" i="1"/>
  <c r="M53" i="1"/>
  <c r="L53" i="1"/>
  <c r="K53" i="1"/>
  <c r="J53" i="1"/>
  <c r="I53" i="1"/>
  <c r="H53" i="1"/>
  <c r="G53" i="1"/>
  <c r="F53" i="1"/>
  <c r="E53" i="1"/>
  <c r="D53" i="1"/>
  <c r="C41" i="1"/>
  <c r="F36" i="1"/>
  <c r="F35" i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E33" i="1"/>
  <c r="D33" i="1"/>
  <c r="D43" i="1" s="1"/>
  <c r="D27" i="1"/>
  <c r="C26" i="1"/>
  <c r="D19" i="1"/>
  <c r="C21" i="1"/>
  <c r="D15" i="1"/>
  <c r="O18" i="1"/>
  <c r="N18" i="1"/>
  <c r="M14" i="1"/>
  <c r="K18" i="1"/>
  <c r="J18" i="1"/>
  <c r="I14" i="1"/>
  <c r="G18" i="1"/>
  <c r="F18" i="1"/>
  <c r="E14" i="1"/>
  <c r="P53" i="1" l="1"/>
  <c r="D55" i="1"/>
  <c r="D29" i="1"/>
  <c r="J14" i="1"/>
  <c r="E17" i="1"/>
  <c r="I18" i="1"/>
  <c r="N14" i="1"/>
  <c r="I17" i="1"/>
  <c r="L18" i="1"/>
  <c r="M17" i="1"/>
  <c r="M18" i="1"/>
  <c r="F14" i="1"/>
  <c r="E18" i="1"/>
  <c r="H17" i="1"/>
  <c r="G14" i="1"/>
  <c r="O14" i="1"/>
  <c r="N26" i="1"/>
  <c r="N27" i="1" s="1"/>
  <c r="J26" i="1"/>
  <c r="J27" i="1" s="1"/>
  <c r="F26" i="1"/>
  <c r="F27" i="1" s="1"/>
  <c r="M26" i="1"/>
  <c r="M27" i="1" s="1"/>
  <c r="I26" i="1"/>
  <c r="I27" i="1" s="1"/>
  <c r="E26" i="1"/>
  <c r="L26" i="1"/>
  <c r="L27" i="1" s="1"/>
  <c r="G26" i="1"/>
  <c r="G27" i="1" s="1"/>
  <c r="O26" i="1"/>
  <c r="O27" i="1" s="1"/>
  <c r="F33" i="1"/>
  <c r="O41" i="1"/>
  <c r="O42" i="1" s="1"/>
  <c r="K41" i="1"/>
  <c r="K42" i="1" s="1"/>
  <c r="G41" i="1"/>
  <c r="G42" i="1" s="1"/>
  <c r="E41" i="1"/>
  <c r="N41" i="1"/>
  <c r="N42" i="1" s="1"/>
  <c r="J41" i="1"/>
  <c r="J42" i="1" s="1"/>
  <c r="F41" i="1"/>
  <c r="F42" i="1" s="1"/>
  <c r="M41" i="1"/>
  <c r="M42" i="1" s="1"/>
  <c r="I41" i="1"/>
  <c r="I42" i="1" s="1"/>
  <c r="K14" i="1"/>
  <c r="O17" i="1"/>
  <c r="O19" i="1" s="1"/>
  <c r="K17" i="1"/>
  <c r="K19" i="1" s="1"/>
  <c r="G17" i="1"/>
  <c r="G19" i="1" s="1"/>
  <c r="N17" i="1"/>
  <c r="N19" i="1" s="1"/>
  <c r="J17" i="1"/>
  <c r="J19" i="1" s="1"/>
  <c r="F17" i="1"/>
  <c r="L17" i="1"/>
  <c r="H18" i="1"/>
  <c r="H26" i="1"/>
  <c r="H27" i="1" s="1"/>
  <c r="P34" i="1"/>
  <c r="G36" i="1"/>
  <c r="I36" i="1" s="1"/>
  <c r="H36" i="1"/>
  <c r="J36" i="1" s="1"/>
  <c r="H41" i="1"/>
  <c r="H42" i="1" s="1"/>
  <c r="K26" i="1"/>
  <c r="K27" i="1" s="1"/>
  <c r="L41" i="1"/>
  <c r="L42" i="1" s="1"/>
  <c r="H14" i="1"/>
  <c r="H15" i="1" s="1"/>
  <c r="L14" i="1"/>
  <c r="L15" i="1" s="1"/>
  <c r="G35" i="1"/>
  <c r="I35" i="1" s="1"/>
  <c r="K35" i="1" s="1"/>
  <c r="M35" i="1" s="1"/>
  <c r="O35" i="1" s="1"/>
  <c r="I15" i="1"/>
  <c r="M15" i="1"/>
  <c r="H35" i="1"/>
  <c r="J35" i="1" s="1"/>
  <c r="L35" i="1" s="1"/>
  <c r="N35" i="1" s="1"/>
  <c r="P26" i="1" l="1"/>
  <c r="E42" i="1"/>
  <c r="P42" i="1" s="1"/>
  <c r="P41" i="1"/>
  <c r="O29" i="1"/>
  <c r="D56" i="1"/>
  <c r="D58" i="1" s="1"/>
  <c r="M19" i="1"/>
  <c r="M29" i="1" s="1"/>
  <c r="N29" i="1"/>
  <c r="E19" i="1"/>
  <c r="N15" i="1"/>
  <c r="J15" i="1"/>
  <c r="P18" i="1"/>
  <c r="L19" i="1"/>
  <c r="L29" i="1" s="1"/>
  <c r="I19" i="1"/>
  <c r="I29" i="1" s="1"/>
  <c r="G29" i="1"/>
  <c r="F15" i="1"/>
  <c r="J29" i="1"/>
  <c r="O15" i="1"/>
  <c r="P14" i="1"/>
  <c r="G15" i="1"/>
  <c r="K36" i="1"/>
  <c r="K15" i="1"/>
  <c r="L36" i="1"/>
  <c r="N36" i="1" s="1"/>
  <c r="J37" i="1"/>
  <c r="F19" i="1"/>
  <c r="F29" i="1" s="1"/>
  <c r="P17" i="1"/>
  <c r="K29" i="1"/>
  <c r="E27" i="1"/>
  <c r="P27" i="1" s="1"/>
  <c r="H19" i="1"/>
  <c r="H29" i="1" s="1"/>
  <c r="P35" i="1"/>
  <c r="F43" i="1"/>
  <c r="F55" i="1" s="1"/>
  <c r="G33" i="1"/>
  <c r="E15" i="1"/>
  <c r="P19" i="1" l="1"/>
  <c r="P29" i="1" s="1"/>
  <c r="P15" i="1"/>
  <c r="M36" i="1"/>
  <c r="K37" i="1"/>
  <c r="L37" i="1" s="1"/>
  <c r="M37" i="1" s="1"/>
  <c r="N37" i="1" s="1"/>
  <c r="O37" i="1" s="1"/>
  <c r="E43" i="1"/>
  <c r="H33" i="1"/>
  <c r="G43" i="1"/>
  <c r="G55" i="1" s="1"/>
  <c r="G56" i="1" s="1"/>
  <c r="E29" i="1"/>
  <c r="F56" i="1"/>
  <c r="P37" i="1" l="1"/>
  <c r="H43" i="1"/>
  <c r="H55" i="1" s="1"/>
  <c r="H56" i="1" s="1"/>
  <c r="I33" i="1"/>
  <c r="O36" i="1"/>
  <c r="P36" i="1" s="1"/>
  <c r="E55" i="1"/>
  <c r="E56" i="1" l="1"/>
  <c r="E58" i="1" s="1"/>
  <c r="F58" i="1" s="1"/>
  <c r="G58" i="1" s="1"/>
  <c r="H58" i="1" s="1"/>
  <c r="I43" i="1"/>
  <c r="J33" i="1"/>
  <c r="J43" i="1" l="1"/>
  <c r="J55" i="1" s="1"/>
  <c r="J56" i="1" s="1"/>
  <c r="K33" i="1"/>
  <c r="I55" i="1"/>
  <c r="I56" i="1" l="1"/>
  <c r="I58" i="1" s="1"/>
  <c r="J58" i="1" s="1"/>
  <c r="K43" i="1"/>
  <c r="L33" i="1"/>
  <c r="K55" i="1" l="1"/>
  <c r="L43" i="1"/>
  <c r="L55" i="1" s="1"/>
  <c r="L56" i="1" s="1"/>
  <c r="M33" i="1"/>
  <c r="M43" i="1" l="1"/>
  <c r="M55" i="1" s="1"/>
  <c r="M56" i="1" s="1"/>
  <c r="N33" i="1"/>
  <c r="K56" i="1"/>
  <c r="K58" i="1" s="1"/>
  <c r="L58" i="1" s="1"/>
  <c r="M58" i="1" l="1"/>
  <c r="N43" i="1"/>
  <c r="O33" i="1"/>
  <c r="O43" i="1" l="1"/>
  <c r="P33" i="1"/>
  <c r="N55" i="1"/>
  <c r="O55" i="1" l="1"/>
  <c r="P43" i="1"/>
  <c r="N56" i="1"/>
  <c r="N58" i="1" s="1"/>
  <c r="O56" i="1" l="1"/>
  <c r="O58" i="1" s="1"/>
  <c r="P55" i="1"/>
  <c r="P56" i="1" s="1"/>
</calcChain>
</file>

<file path=xl/sharedStrings.xml><?xml version="1.0" encoding="utf-8"?>
<sst xmlns="http://schemas.openxmlformats.org/spreadsheetml/2006/main" count="197" uniqueCount="101">
  <si>
    <t>STUDENTS SERVED</t>
  </si>
  <si>
    <t>Plan 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</si>
  <si>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</si>
  <si>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</si>
  <si>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</si>
  <si>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</si>
  <si>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</si>
  <si>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</si>
  <si>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</si>
  <si>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</si>
  <si>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</si>
  <si>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</si>
  <si>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</si>
  <si>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TOTAL</t>
  </si>
  <si>
    <t>graduated</t>
  </si>
  <si>
    <t>TOTAL SERVED</t>
  </si>
  <si>
    <t>Graduation Rate</t>
  </si>
  <si>
    <t>Total</t>
  </si>
  <si>
    <t>P &amp; L STATEMENT</t>
  </si>
  <si>
    <t>INCOME</t>
  </si>
  <si>
    <t>Per Student</t>
  </si>
  <si>
    <t>(1)  Paid by the Student:</t>
  </si>
  <si>
    <t>Annual Cost</t>
  </si>
  <si>
    <t xml:space="preserve">     Total Income to general university budget not IHE Program Budget</t>
  </si>
  <si>
    <t xml:space="preserve">     IHE Program Class Tuition (3 credit hrs/semester)</t>
  </si>
  <si>
    <t xml:space="preserve">     Course Program Fee per student (annual)</t>
  </si>
  <si>
    <t xml:space="preserve">     Total tuition income directed to IHE Program Budget</t>
  </si>
  <si>
    <t xml:space="preserve">Annual Total Student Cost </t>
  </si>
  <si>
    <t xml:space="preserve">Annual Typical Student Cost </t>
  </si>
  <si>
    <t xml:space="preserve">(2)  Other Income to Program: </t>
  </si>
  <si>
    <t xml:space="preserve">     IN! Education Grant</t>
  </si>
  <si>
    <t xml:space="preserve">     Total Other  income directed to IHE   </t>
  </si>
  <si>
    <t>TOTAL INCOME TO IHE</t>
  </si>
  <si>
    <t>EXPENSE</t>
  </si>
  <si>
    <t>(1)  Human Resources</t>
  </si>
  <si>
    <t>Program:</t>
  </si>
  <si>
    <t>Annual</t>
  </si>
  <si>
    <t>Program Coordinator: Employment ($50k+29% fringe)</t>
  </si>
  <si>
    <t>Support:</t>
  </si>
  <si>
    <t>Mentors (10hrs/wk per student @ $14/hr for 32 weeks)</t>
  </si>
  <si>
    <t>Total Human Resources</t>
  </si>
  <si>
    <t>(2)  Other Expenses</t>
  </si>
  <si>
    <t>Marketing/Awareness</t>
  </si>
  <si>
    <t>Printing/Materials</t>
  </si>
  <si>
    <t>Program Evaluation</t>
  </si>
  <si>
    <t>Software/Assistive Technology</t>
  </si>
  <si>
    <t>Training</t>
  </si>
  <si>
    <t>Travel</t>
  </si>
  <si>
    <t>Other (supplies, office space etc..)</t>
  </si>
  <si>
    <t>Total Other Expenses</t>
  </si>
  <si>
    <t>TOTAL EXPENSE TO IHE</t>
  </si>
  <si>
    <t>NET INCOME (EXPENSE) TO IHE</t>
  </si>
  <si>
    <t>Cash Reserve</t>
  </si>
  <si>
    <t>Community College Pro Forma Budget</t>
  </si>
  <si>
    <t xml:space="preserve">     Tuition &amp; fees (2 courses/semester, $153/ch)            </t>
  </si>
  <si>
    <t>Work Study Reimbursement (100%)</t>
  </si>
  <si>
    <t>University Pro Forma Budget</t>
  </si>
  <si>
    <t>Freshman</t>
  </si>
  <si>
    <t>Sophomore</t>
  </si>
  <si>
    <t>Junior</t>
  </si>
  <si>
    <t>Senior</t>
  </si>
  <si>
    <t>current student</t>
  </si>
  <si>
    <t xml:space="preserve"> estimated number of students living on campus</t>
  </si>
  <si>
    <t>number of resident advisors needed (1/20 ratio)</t>
  </si>
  <si>
    <t xml:space="preserve">     Tuition &amp; fees (2 courses/semester, $385/ch)            </t>
  </si>
  <si>
    <t xml:space="preserve">     Room &amp; Board </t>
  </si>
  <si>
    <t>Executive Director ($65k + 29% fringe)</t>
  </si>
  <si>
    <t>Program Coordinator:  Academics ($50k + 29% fringe)</t>
  </si>
  <si>
    <t>Program Coordinator: Life Skills ($50k + 29% fringe)</t>
  </si>
  <si>
    <t>Work Study Reimbursement (on average 75%)</t>
  </si>
  <si>
    <t>Resident Advisors (Room &amp; Board credit; 1-20 ratio)</t>
  </si>
  <si>
    <t>Associates</t>
  </si>
  <si>
    <t xml:space="preserve">IHE </t>
  </si>
  <si>
    <t>Executive Director (.55 FTE, $65k + 35% fringe)</t>
  </si>
  <si>
    <t>Program Coordinator:  Academics ($42k + 35% fringe)</t>
  </si>
  <si>
    <t>Program Coordinator: Life Skills ($42k + 35% fringe)</t>
  </si>
  <si>
    <t>Program Coordinator: Employment ($42k+35% fringe)</t>
  </si>
  <si>
    <t>CC has 2 pathways (associates and IHE Certificate), IHE is completed in 3 years, associates can take 3-6 years. 
Assumption: 1/3 students enroll in associates, 2/3 in IHE cert.  Total enrollments is the key number, incoming freshman are adjusted based on total number of students</t>
  </si>
  <si>
    <t xml:space="preserve">     Total Income to general college budget not IHE Program Budget</t>
  </si>
  <si>
    <t xml:space="preserve">     IHE Program Class Tuition (3 credit hrs/sem)</t>
  </si>
  <si>
    <t xml:space="preserve">      Program Fee per student (annual)</t>
  </si>
  <si>
    <t>DVR reimbursement line assumes 75% of students receive DVR funding</t>
  </si>
  <si>
    <t xml:space="preserve">     DVR Contribution ($3000/semester) </t>
  </si>
  <si>
    <t xml:space="preserve">Program fee: currently approved for $1,500/sem, recommendation to CC is $2,000/sem. Recommendation used in proforma.
Tuition reimbursement - currently not approved to receive tuition reimbursement for IHE class, recommendation to CC to have 3 course class with tuition directed back to  IHE program.  Recommendation used in proforma.
</t>
  </si>
  <si>
    <t>Assuming Community College will fund .45 FTE for director from disability services
Please note that community college salaries are lower than the university counterparts (~$8K) starting, fringe benefits are higher at community college at 35% versus 29%.
Please note that 2 positions start at PT</t>
  </si>
  <si>
    <t>Community College utilizes work study for 100% of peer mentor support and salary reimbursement</t>
  </si>
  <si>
    <t>Expenses will fluctuate based on each school.  For example - ACC does not pay for office space, but UNC does. 
The expenses listed are those that should be considered and adjusted during planning process</t>
  </si>
  <si>
    <t xml:space="preserve">CC year 7:  With the additonal staff added in year 7 the program does see a negative net, however the reserve can cover this loss for 1 year. </t>
  </si>
  <si>
    <t xml:space="preserve">All students complete in 4 years per IHE certificate design
Residential Advisors best practice is 1 RA to 20 students
Assumption and preference  that majority of students live on campus
</t>
  </si>
  <si>
    <t xml:space="preserve">Proforma uses an average tuition cost, % of additional course fees (15%) and room and board costs. Actual costs will fluctuate based on University
Program fee recommendation is reduced from current program fee
</t>
  </si>
  <si>
    <t>Assuming a 29% fringe benefit cost, will fluctuate based on University (community college is 35%)
Please note that university salaries are higher than the community college counterparts (~$8K) starting
Please note that 2 positions start at PT</t>
  </si>
  <si>
    <t>Assumption that peer mentor salary will be reimbursed by work study for 75% of need.  Budget line item for peer mentor staff not utilizing work study
RA cost increases with additional enrollments</t>
  </si>
  <si>
    <t xml:space="preserve">Year 5:  With the additional staff added in year 5 the program does see a negative net, however the reserve can cover this loss for 1 year. </t>
  </si>
  <si>
    <t>Notes and Assumptions</t>
  </si>
  <si>
    <t>Staff to student ratio</t>
  </si>
  <si>
    <t>1:4</t>
  </si>
  <si>
    <t>1:3</t>
  </si>
  <si>
    <t>1:5</t>
  </si>
  <si>
    <t>1:6</t>
  </si>
  <si>
    <t>1:7</t>
  </si>
  <si>
    <t>staff to student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</si>
</sst>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CC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u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6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0" fillId="3" borderId="5" xfId="0" applyFill="1" applyBorder="1"/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164" fontId="0" fillId="3" borderId="6" xfId="1" quotePrefix="1" applyNumberFormat="1" applyFont="1" applyFill="1" applyBorder="1" applyAlignment="1">
      <alignment horizontal="center"/>
    </xf>
    <xf numFmtId="0" fontId="7" fillId="3" borderId="5" xfId="0" applyFont="1" applyFill="1" applyBorder="1"/>
    <xf numFmtId="0" fontId="3" fillId="3" borderId="9" xfId="0" applyFont="1" applyFill="1" applyBorder="1" applyAlignment="1">
      <alignment horizontal="left"/>
    </xf>
    <xf numFmtId="164" fontId="3" fillId="0" borderId="8" xfId="1" applyNumberFormat="1" applyFont="1" applyFill="1" applyBorder="1" applyAlignment="1">
      <alignment horizontal="right"/>
    </xf>
    <xf numFmtId="164" fontId="0" fillId="3" borderId="9" xfId="1" quotePrefix="1" applyNumberFormat="1" applyFont="1" applyFill="1" applyBorder="1" applyAlignment="1">
      <alignment horizontal="center"/>
    </xf>
    <xf numFmtId="164" fontId="8" fillId="0" borderId="8" xfId="1" applyNumberFormat="1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center"/>
    </xf>
    <xf numFmtId="164" fontId="9" fillId="2" borderId="12" xfId="1" quotePrefix="1" applyNumberFormat="1" applyFont="1" applyFill="1" applyBorder="1" applyAlignment="1">
      <alignment horizontal="center"/>
    </xf>
    <xf numFmtId="164" fontId="0" fillId="0" borderId="8" xfId="0" applyNumberFormat="1" applyBorder="1" applyAlignment="1">
      <alignment horizontal="right"/>
    </xf>
    <xf numFmtId="0" fontId="10" fillId="0" borderId="0" xfId="0" applyFont="1" applyAlignment="1">
      <alignment horizontal="right"/>
    </xf>
    <xf numFmtId="0" fontId="10" fillId="3" borderId="5" xfId="0" applyFont="1" applyFill="1" applyBorder="1" applyAlignment="1">
      <alignment horizontal="right"/>
    </xf>
    <xf numFmtId="0" fontId="11" fillId="3" borderId="6" xfId="0" applyFont="1" applyFill="1" applyBorder="1" applyAlignment="1">
      <alignment horizontal="right"/>
    </xf>
    <xf numFmtId="0" fontId="11" fillId="3" borderId="9" xfId="0" applyFont="1" applyFill="1" applyBorder="1" applyAlignment="1">
      <alignment horizontal="right"/>
    </xf>
    <xf numFmtId="0" fontId="11" fillId="3" borderId="6" xfId="1" quotePrefix="1" applyNumberFormat="1" applyFont="1" applyFill="1" applyBorder="1" applyAlignment="1">
      <alignment horizontal="right"/>
    </xf>
    <xf numFmtId="9" fontId="11" fillId="3" borderId="6" xfId="1" quotePrefix="1" applyNumberFormat="1" applyFont="1" applyFill="1" applyBorder="1" applyAlignment="1">
      <alignment horizontal="right"/>
    </xf>
    <xf numFmtId="164" fontId="9" fillId="0" borderId="8" xfId="1" applyNumberFormat="1" applyFont="1" applyFill="1" applyBorder="1" applyAlignment="1">
      <alignment horizontal="right"/>
    </xf>
    <xf numFmtId="9" fontId="10" fillId="3" borderId="6" xfId="0" applyNumberFormat="1" applyFont="1" applyFill="1" applyBorder="1" applyAlignment="1">
      <alignment horizontal="right"/>
    </xf>
    <xf numFmtId="164" fontId="12" fillId="0" borderId="8" xfId="1" applyNumberFormat="1" applyFont="1" applyFill="1" applyBorder="1" applyAlignment="1">
      <alignment horizontal="right"/>
    </xf>
    <xf numFmtId="0" fontId="2" fillId="0" borderId="0" xfId="0" applyFont="1"/>
    <xf numFmtId="0" fontId="11" fillId="3" borderId="14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164" fontId="14" fillId="0" borderId="0" xfId="1" quotePrefix="1" applyNumberFormat="1" applyFont="1" applyFill="1" applyBorder="1" applyAlignment="1">
      <alignment horizontal="center"/>
    </xf>
    <xf numFmtId="164" fontId="9" fillId="0" borderId="0" xfId="1" applyNumberFormat="1" applyFont="1" applyFill="1" applyBorder="1"/>
    <xf numFmtId="0" fontId="15" fillId="2" borderId="1" xfId="0" applyFont="1" applyFill="1" applyBorder="1" applyAlignment="1">
      <alignment horizontal="center" vertical="center"/>
    </xf>
    <xf numFmtId="0" fontId="8" fillId="0" borderId="0" xfId="0" applyFont="1"/>
    <xf numFmtId="0" fontId="16" fillId="3" borderId="17" xfId="0" applyFont="1" applyFill="1" applyBorder="1"/>
    <xf numFmtId="0" fontId="12" fillId="3" borderId="18" xfId="0" applyFont="1" applyFill="1" applyBorder="1" applyAlignment="1">
      <alignment horizontal="right"/>
    </xf>
    <xf numFmtId="0" fontId="3" fillId="2" borderId="19" xfId="0" applyFont="1" applyFill="1" applyBorder="1" applyAlignment="1">
      <alignment horizontal="center"/>
    </xf>
    <xf numFmtId="0" fontId="9" fillId="4" borderId="5" xfId="0" quotePrefix="1" applyFont="1" applyFill="1" applyBorder="1" applyAlignment="1">
      <alignment horizontal="left"/>
    </xf>
    <xf numFmtId="0" fontId="17" fillId="4" borderId="0" xfId="0" applyFont="1" applyFill="1" applyAlignment="1">
      <alignment horizontal="right"/>
    </xf>
    <xf numFmtId="0" fontId="17" fillId="4" borderId="9" xfId="0" applyFont="1" applyFill="1" applyBorder="1" applyAlignment="1">
      <alignment horizontal="right"/>
    </xf>
    <xf numFmtId="0" fontId="0" fillId="4" borderId="0" xfId="0" applyFill="1"/>
    <xf numFmtId="0" fontId="0" fillId="4" borderId="6" xfId="0" applyFill="1" applyBorder="1"/>
    <xf numFmtId="0" fontId="0" fillId="3" borderId="8" xfId="0" applyFill="1" applyBorder="1"/>
    <xf numFmtId="0" fontId="8" fillId="4" borderId="5" xfId="0" applyFont="1" applyFill="1" applyBorder="1"/>
    <xf numFmtId="164" fontId="13" fillId="4" borderId="0" xfId="1" applyNumberFormat="1" applyFont="1" applyFill="1" applyBorder="1"/>
    <xf numFmtId="164" fontId="13" fillId="4" borderId="9" xfId="1" applyNumberFormat="1" applyFont="1" applyFill="1" applyBorder="1"/>
    <xf numFmtId="164" fontId="8" fillId="4" borderId="0" xfId="1" quotePrefix="1" applyNumberFormat="1" applyFont="1" applyFill="1" applyBorder="1" applyAlignment="1">
      <alignment horizontal="center"/>
    </xf>
    <xf numFmtId="164" fontId="8" fillId="4" borderId="6" xfId="1" quotePrefix="1" applyNumberFormat="1" applyFont="1" applyFill="1" applyBorder="1" applyAlignment="1">
      <alignment horizontal="center"/>
    </xf>
    <xf numFmtId="164" fontId="8" fillId="3" borderId="8" xfId="1" applyNumberFormat="1" applyFont="1" applyFill="1" applyBorder="1"/>
    <xf numFmtId="164" fontId="8" fillId="3" borderId="21" xfId="1" applyNumberFormat="1" applyFont="1" applyFill="1" applyBorder="1"/>
    <xf numFmtId="0" fontId="9" fillId="4" borderId="5" xfId="0" applyFont="1" applyFill="1" applyBorder="1" applyAlignment="1">
      <alignment horizontal="left"/>
    </xf>
    <xf numFmtId="164" fontId="9" fillId="4" borderId="9" xfId="1" quotePrefix="1" applyNumberFormat="1" applyFont="1" applyFill="1" applyBorder="1" applyAlignment="1">
      <alignment horizontal="center"/>
    </xf>
    <xf numFmtId="164" fontId="9" fillId="4" borderId="0" xfId="1" quotePrefix="1" applyNumberFormat="1" applyFont="1" applyFill="1" applyBorder="1" applyAlignment="1">
      <alignment horizontal="center"/>
    </xf>
    <xf numFmtId="164" fontId="9" fillId="4" borderId="6" xfId="1" quotePrefix="1" applyNumberFormat="1" applyFont="1" applyFill="1" applyBorder="1" applyAlignment="1">
      <alignment horizontal="center"/>
    </xf>
    <xf numFmtId="164" fontId="9" fillId="3" borderId="8" xfId="1" quotePrefix="1" applyNumberFormat="1" applyFont="1" applyFill="1" applyBorder="1" applyAlignment="1">
      <alignment horizontal="center"/>
    </xf>
    <xf numFmtId="0" fontId="9" fillId="3" borderId="5" xfId="0" applyFont="1" applyFill="1" applyBorder="1" applyAlignment="1">
      <alignment horizontal="left"/>
    </xf>
    <xf numFmtId="164" fontId="13" fillId="3" borderId="0" xfId="1" applyNumberFormat="1" applyFont="1" applyFill="1" applyBorder="1"/>
    <xf numFmtId="164" fontId="13" fillId="3" borderId="9" xfId="1" applyNumberFormat="1" applyFont="1" applyFill="1" applyBorder="1"/>
    <xf numFmtId="164" fontId="9" fillId="3" borderId="0" xfId="1" quotePrefix="1" applyNumberFormat="1" applyFont="1" applyFill="1" applyBorder="1" applyAlignment="1">
      <alignment horizontal="center"/>
    </xf>
    <xf numFmtId="164" fontId="9" fillId="3" borderId="6" xfId="1" quotePrefix="1" applyNumberFormat="1" applyFont="1" applyFill="1" applyBorder="1" applyAlignment="1">
      <alignment horizontal="center"/>
    </xf>
    <xf numFmtId="0" fontId="8" fillId="3" borderId="5" xfId="0" applyFont="1" applyFill="1" applyBorder="1"/>
    <xf numFmtId="164" fontId="8" fillId="3" borderId="0" xfId="1" quotePrefix="1" applyNumberFormat="1" applyFont="1" applyFill="1" applyBorder="1" applyAlignment="1">
      <alignment horizontal="center"/>
    </xf>
    <xf numFmtId="164" fontId="8" fillId="3" borderId="6" xfId="1" quotePrefix="1" applyNumberFormat="1" applyFont="1" applyFill="1" applyBorder="1" applyAlignment="1">
      <alignment horizontal="center"/>
    </xf>
    <xf numFmtId="164" fontId="13" fillId="3" borderId="20" xfId="1" applyNumberFormat="1" applyFont="1" applyFill="1" applyBorder="1"/>
    <xf numFmtId="164" fontId="13" fillId="3" borderId="10" xfId="1" applyNumberFormat="1" applyFont="1" applyFill="1" applyBorder="1"/>
    <xf numFmtId="164" fontId="8" fillId="3" borderId="20" xfId="1" quotePrefix="1" applyNumberFormat="1" applyFont="1" applyFill="1" applyBorder="1" applyAlignment="1">
      <alignment horizontal="center"/>
    </xf>
    <xf numFmtId="164" fontId="8" fillId="3" borderId="11" xfId="1" quotePrefix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164" fontId="9" fillId="3" borderId="9" xfId="1" quotePrefix="1" applyNumberFormat="1" applyFont="1" applyFill="1" applyBorder="1" applyAlignment="1">
      <alignment horizontal="center"/>
    </xf>
    <xf numFmtId="164" fontId="9" fillId="3" borderId="8" xfId="1" applyNumberFormat="1" applyFont="1" applyFill="1" applyBorder="1"/>
    <xf numFmtId="0" fontId="11" fillId="3" borderId="17" xfId="0" applyFont="1" applyFill="1" applyBorder="1" applyAlignment="1">
      <alignment horizontal="right"/>
    </xf>
    <xf numFmtId="164" fontId="13" fillId="3" borderId="18" xfId="1" quotePrefix="1" applyNumberFormat="1" applyFont="1" applyFill="1" applyBorder="1" applyAlignment="1">
      <alignment horizontal="center"/>
    </xf>
    <xf numFmtId="164" fontId="13" fillId="3" borderId="9" xfId="1" quotePrefix="1" applyNumberFormat="1" applyFont="1" applyFill="1" applyBorder="1" applyAlignment="1">
      <alignment horizontal="center"/>
    </xf>
    <xf numFmtId="164" fontId="9" fillId="3" borderId="22" xfId="1" quotePrefix="1" applyNumberFormat="1" applyFont="1" applyFill="1" applyBorder="1" applyAlignment="1">
      <alignment horizontal="center"/>
    </xf>
    <xf numFmtId="164" fontId="13" fillId="3" borderId="23" xfId="1" applyNumberFormat="1" applyFont="1" applyFill="1" applyBorder="1"/>
    <xf numFmtId="0" fontId="18" fillId="3" borderId="5" xfId="0" applyFont="1" applyFill="1" applyBorder="1" applyAlignment="1">
      <alignment horizontal="right"/>
    </xf>
    <xf numFmtId="164" fontId="19" fillId="3" borderId="0" xfId="1" quotePrefix="1" applyNumberFormat="1" applyFont="1" applyFill="1" applyBorder="1" applyAlignment="1">
      <alignment horizontal="center"/>
    </xf>
    <xf numFmtId="164" fontId="19" fillId="3" borderId="9" xfId="1" quotePrefix="1" applyNumberFormat="1" applyFont="1" applyFill="1" applyBorder="1" applyAlignment="1">
      <alignment horizontal="center"/>
    </xf>
    <xf numFmtId="0" fontId="9" fillId="3" borderId="5" xfId="0" quotePrefix="1" applyFont="1" applyFill="1" applyBorder="1" applyAlignment="1">
      <alignment horizontal="left"/>
    </xf>
    <xf numFmtId="0" fontId="0" fillId="3" borderId="0" xfId="0" applyFill="1"/>
    <xf numFmtId="0" fontId="0" fillId="3" borderId="9" xfId="0" applyFill="1" applyBorder="1"/>
    <xf numFmtId="164" fontId="0" fillId="3" borderId="0" xfId="1" quotePrefix="1" applyNumberFormat="1" applyFont="1" applyFill="1" applyBorder="1"/>
    <xf numFmtId="164" fontId="20" fillId="3" borderId="8" xfId="1" applyNumberFormat="1" applyFont="1" applyFill="1" applyBorder="1"/>
    <xf numFmtId="164" fontId="0" fillId="3" borderId="9" xfId="1" applyNumberFormat="1" applyFont="1" applyFill="1" applyBorder="1"/>
    <xf numFmtId="164" fontId="1" fillId="3" borderId="0" xfId="1" quotePrefix="1" applyNumberFormat="1" applyFont="1" applyFill="1" applyBorder="1"/>
    <xf numFmtId="164" fontId="1" fillId="3" borderId="6" xfId="1" quotePrefix="1" applyNumberFormat="1" applyFont="1" applyFill="1" applyBorder="1"/>
    <xf numFmtId="0" fontId="0" fillId="3" borderId="10" xfId="0" applyFill="1" applyBorder="1"/>
    <xf numFmtId="164" fontId="1" fillId="3" borderId="20" xfId="1" quotePrefix="1" applyNumberFormat="1" applyFont="1" applyFill="1" applyBorder="1"/>
    <xf numFmtId="164" fontId="1" fillId="3" borderId="11" xfId="1" quotePrefix="1" applyNumberFormat="1" applyFont="1" applyFill="1" applyBorder="1"/>
    <xf numFmtId="164" fontId="3" fillId="3" borderId="9" xfId="1" applyNumberFormat="1" applyFont="1" applyFill="1" applyBorder="1"/>
    <xf numFmtId="164" fontId="3" fillId="3" borderId="0" xfId="1" applyNumberFormat="1" applyFont="1" applyFill="1" applyBorder="1"/>
    <xf numFmtId="164" fontId="3" fillId="3" borderId="6" xfId="1" applyNumberFormat="1" applyFont="1" applyFill="1" applyBorder="1"/>
    <xf numFmtId="164" fontId="3" fillId="3" borderId="8" xfId="1" applyNumberFormat="1" applyFont="1" applyFill="1" applyBorder="1"/>
    <xf numFmtId="164" fontId="0" fillId="3" borderId="0" xfId="1" applyNumberFormat="1" applyFont="1" applyFill="1" applyBorder="1"/>
    <xf numFmtId="164" fontId="0" fillId="3" borderId="6" xfId="1" applyNumberFormat="1" applyFont="1" applyFill="1" applyBorder="1"/>
    <xf numFmtId="0" fontId="16" fillId="3" borderId="5" xfId="0" applyFont="1" applyFill="1" applyBorder="1" applyAlignment="1">
      <alignment horizontal="right"/>
    </xf>
    <xf numFmtId="164" fontId="3" fillId="3" borderId="24" xfId="1" applyNumberFormat="1" applyFont="1" applyFill="1" applyBorder="1"/>
    <xf numFmtId="164" fontId="3" fillId="3" borderId="25" xfId="1" applyNumberFormat="1" applyFont="1" applyFill="1" applyBorder="1"/>
    <xf numFmtId="164" fontId="3" fillId="3" borderId="26" xfId="1" applyNumberFormat="1" applyFont="1" applyFill="1" applyBorder="1"/>
    <xf numFmtId="164" fontId="3" fillId="3" borderId="27" xfId="1" applyNumberFormat="1" applyFont="1" applyFill="1" applyBorder="1"/>
    <xf numFmtId="0" fontId="16" fillId="3" borderId="5" xfId="0" applyFont="1" applyFill="1" applyBorder="1"/>
    <xf numFmtId="0" fontId="0" fillId="0" borderId="0" xfId="0" quotePrefix="1" applyAlignment="1">
      <alignment horizontal="center"/>
    </xf>
    <xf numFmtId="0" fontId="3" fillId="3" borderId="5" xfId="0" quotePrefix="1" applyFont="1" applyFill="1" applyBorder="1"/>
    <xf numFmtId="0" fontId="21" fillId="3" borderId="5" xfId="0" applyFont="1" applyFill="1" applyBorder="1"/>
    <xf numFmtId="164" fontId="10" fillId="3" borderId="0" xfId="1" applyNumberFormat="1" applyFont="1" applyFill="1" applyBorder="1" applyAlignment="1">
      <alignment horizontal="right"/>
    </xf>
    <xf numFmtId="164" fontId="10" fillId="3" borderId="9" xfId="1" applyNumberFormat="1" applyFont="1" applyFill="1" applyBorder="1" applyAlignment="1">
      <alignment horizontal="right"/>
    </xf>
    <xf numFmtId="0" fontId="8" fillId="3" borderId="5" xfId="0" applyFont="1" applyFill="1" applyBorder="1" applyAlignment="1">
      <alignment vertical="center"/>
    </xf>
    <xf numFmtId="0" fontId="22" fillId="3" borderId="5" xfId="0" applyFont="1" applyFill="1" applyBorder="1"/>
    <xf numFmtId="164" fontId="0" fillId="3" borderId="20" xfId="1" applyNumberFormat="1" applyFont="1" applyFill="1" applyBorder="1"/>
    <xf numFmtId="164" fontId="0" fillId="3" borderId="11" xfId="1" applyNumberFormat="1" applyFont="1" applyFill="1" applyBorder="1"/>
    <xf numFmtId="164" fontId="9" fillId="3" borderId="21" xfId="1" applyNumberFormat="1" applyFont="1" applyFill="1" applyBorder="1"/>
    <xf numFmtId="0" fontId="3" fillId="3" borderId="5" xfId="0" applyFont="1" applyFill="1" applyBorder="1"/>
    <xf numFmtId="164" fontId="0" fillId="3" borderId="0" xfId="1" applyNumberFormat="1" applyFont="1" applyFill="1" applyBorder="1" applyAlignment="1">
      <alignment horizontal="right"/>
    </xf>
    <xf numFmtId="164" fontId="3" fillId="3" borderId="9" xfId="1" applyNumberFormat="1" applyFont="1" applyFill="1" applyBorder="1" applyAlignment="1">
      <alignment horizontal="right"/>
    </xf>
    <xf numFmtId="164" fontId="3" fillId="3" borderId="0" xfId="1" applyNumberFormat="1" applyFont="1" applyFill="1" applyBorder="1" applyAlignment="1">
      <alignment horizontal="right"/>
    </xf>
    <xf numFmtId="164" fontId="3" fillId="3" borderId="6" xfId="1" applyNumberFormat="1" applyFont="1" applyFill="1" applyBorder="1" applyAlignment="1">
      <alignment horizontal="right"/>
    </xf>
    <xf numFmtId="164" fontId="0" fillId="3" borderId="9" xfId="1" applyNumberFormat="1" applyFont="1" applyFill="1" applyBorder="1" applyAlignment="1">
      <alignment horizontal="right"/>
    </xf>
    <xf numFmtId="164" fontId="0" fillId="3" borderId="6" xfId="1" applyNumberFormat="1" applyFont="1" applyFill="1" applyBorder="1" applyAlignment="1">
      <alignment horizontal="right"/>
    </xf>
    <xf numFmtId="164" fontId="3" fillId="3" borderId="8" xfId="1" applyNumberFormat="1" applyFont="1" applyFill="1" applyBorder="1" applyAlignment="1">
      <alignment horizontal="right"/>
    </xf>
    <xf numFmtId="164" fontId="0" fillId="3" borderId="10" xfId="1" applyNumberFormat="1" applyFont="1" applyFill="1" applyBorder="1"/>
    <xf numFmtId="0" fontId="3" fillId="2" borderId="28" xfId="0" applyFont="1" applyFill="1" applyBorder="1"/>
    <xf numFmtId="164" fontId="3" fillId="2" borderId="29" xfId="1" applyNumberFormat="1" applyFont="1" applyFill="1" applyBorder="1"/>
    <xf numFmtId="164" fontId="3" fillId="2" borderId="15" xfId="1" applyNumberFormat="1" applyFont="1" applyFill="1" applyBorder="1"/>
    <xf numFmtId="164" fontId="3" fillId="2" borderId="16" xfId="1" applyNumberFormat="1" applyFont="1" applyFill="1" applyBorder="1"/>
    <xf numFmtId="164" fontId="3" fillId="2" borderId="30" xfId="1" applyNumberFormat="1" applyFont="1" applyFill="1" applyBorder="1"/>
    <xf numFmtId="164" fontId="3" fillId="0" borderId="0" xfId="1" applyNumberFormat="1" applyFont="1" applyBorder="1"/>
    <xf numFmtId="164" fontId="9" fillId="0" borderId="0" xfId="1" applyNumberFormat="1" applyFont="1" applyBorder="1"/>
    <xf numFmtId="0" fontId="10" fillId="0" borderId="0" xfId="0" applyFont="1"/>
    <xf numFmtId="0" fontId="3" fillId="4" borderId="3" xfId="0" applyFont="1" applyFill="1" applyBorder="1" applyAlignment="1">
      <alignment horizontal="right"/>
    </xf>
    <xf numFmtId="164" fontId="3" fillId="4" borderId="31" xfId="1" applyNumberFormat="1" applyFont="1" applyFill="1" applyBorder="1"/>
    <xf numFmtId="164" fontId="3" fillId="4" borderId="32" xfId="1" applyNumberFormat="1" applyFont="1" applyFill="1" applyBorder="1"/>
    <xf numFmtId="164" fontId="0" fillId="0" borderId="8" xfId="1" applyNumberFormat="1" applyFont="1" applyFill="1" applyBorder="1" applyAlignment="1">
      <alignment horizontal="center"/>
    </xf>
    <xf numFmtId="164" fontId="0" fillId="3" borderId="10" xfId="1" quotePrefix="1" applyNumberFormat="1" applyFont="1" applyFill="1" applyBorder="1" applyAlignment="1">
      <alignment horizontal="center"/>
    </xf>
    <xf numFmtId="164" fontId="0" fillId="3" borderId="11" xfId="1" quotePrefix="1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right"/>
    </xf>
    <xf numFmtId="9" fontId="13" fillId="3" borderId="6" xfId="2" applyFont="1" applyFill="1" applyBorder="1" applyAlignment="1">
      <alignment horizontal="center"/>
    </xf>
    <xf numFmtId="0" fontId="9" fillId="3" borderId="13" xfId="1" applyNumberFormat="1" applyFont="1" applyFill="1" applyBorder="1" applyAlignment="1">
      <alignment horizontal="center"/>
    </xf>
    <xf numFmtId="164" fontId="9" fillId="3" borderId="12" xfId="1" quotePrefix="1" applyNumberFormat="1" applyFont="1" applyFill="1" applyBorder="1" applyAlignment="1">
      <alignment horizontal="center"/>
    </xf>
    <xf numFmtId="164" fontId="9" fillId="0" borderId="8" xfId="1" applyNumberFormat="1" applyFont="1" applyFill="1" applyBorder="1"/>
    <xf numFmtId="0" fontId="0" fillId="3" borderId="33" xfId="0" applyFill="1" applyBorder="1"/>
    <xf numFmtId="0" fontId="9" fillId="3" borderId="15" xfId="1" applyNumberFormat="1" applyFont="1" applyFill="1" applyBorder="1" applyAlignment="1">
      <alignment horizontal="center"/>
    </xf>
    <xf numFmtId="164" fontId="9" fillId="3" borderId="16" xfId="1" quotePrefix="1" applyNumberFormat="1" applyFont="1" applyFill="1" applyBorder="1" applyAlignment="1">
      <alignment horizontal="center"/>
    </xf>
    <xf numFmtId="164" fontId="14" fillId="3" borderId="33" xfId="1" quotePrefix="1" applyNumberFormat="1" applyFont="1" applyFill="1" applyBorder="1" applyAlignment="1">
      <alignment horizontal="center"/>
    </xf>
    <xf numFmtId="164" fontId="9" fillId="0" borderId="34" xfId="1" applyNumberFormat="1" applyFont="1" applyFill="1" applyBorder="1"/>
    <xf numFmtId="164" fontId="13" fillId="4" borderId="10" xfId="1" applyNumberFormat="1" applyFont="1" applyFill="1" applyBorder="1"/>
    <xf numFmtId="164" fontId="8" fillId="4" borderId="20" xfId="1" quotePrefix="1" applyNumberFormat="1" applyFont="1" applyFill="1" applyBorder="1" applyAlignment="1">
      <alignment horizontal="center"/>
    </xf>
    <xf numFmtId="164" fontId="8" fillId="4" borderId="11" xfId="1" quotePrefix="1" applyNumberFormat="1" applyFont="1" applyFill="1" applyBorder="1" applyAlignment="1">
      <alignment horizontal="center"/>
    </xf>
    <xf numFmtId="1" fontId="11" fillId="3" borderId="6" xfId="1" quotePrefix="1" applyNumberFormat="1" applyFont="1" applyFill="1" applyBorder="1" applyAlignment="1">
      <alignment horizontal="right"/>
    </xf>
    <xf numFmtId="1" fontId="11" fillId="3" borderId="9" xfId="0" applyNumberFormat="1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10" fillId="0" borderId="0" xfId="0" applyFont="1" applyBorder="1" applyAlignment="1">
      <alignment vertical="top" wrapText="1"/>
    </xf>
    <xf numFmtId="0" fontId="0" fillId="0" borderId="0" xfId="0" applyBorder="1"/>
    <xf numFmtId="49" fontId="10" fillId="0" borderId="0" xfId="0" applyNumberFormat="1" applyFont="1" applyAlignment="1">
      <alignment horizontal="right"/>
    </xf>
    <xf numFmtId="0" fontId="12" fillId="3" borderId="5" xfId="0" applyFont="1" applyFill="1" applyBorder="1" applyAlignment="1">
      <alignment horizontal="right"/>
    </xf>
    <xf numFmtId="49" fontId="10" fillId="3" borderId="10" xfId="0" applyNumberFormat="1" applyFont="1" applyFill="1" applyBorder="1" applyAlignment="1">
      <alignment horizontal="right"/>
    </xf>
    <xf numFmtId="49" fontId="12" fillId="3" borderId="6" xfId="1" quotePrefix="1" applyNumberFormat="1" applyFont="1" applyFill="1" applyBorder="1" applyAlignment="1">
      <alignment horizontal="right"/>
    </xf>
    <xf numFmtId="49" fontId="11" fillId="3" borderId="35" xfId="0" applyNumberFormat="1" applyFont="1" applyFill="1" applyBorder="1" applyAlignment="1">
      <alignment horizontal="right"/>
    </xf>
    <xf numFmtId="49" fontId="11" fillId="3" borderId="35" xfId="1" quotePrefix="1" applyNumberFormat="1" applyFont="1" applyFill="1" applyBorder="1" applyAlignment="1">
      <alignment horizontal="right"/>
    </xf>
    <xf numFmtId="49" fontId="11" fillId="3" borderId="33" xfId="1" quotePrefix="1" applyNumberFormat="1" applyFont="1" applyFill="1" applyBorder="1" applyAlignment="1">
      <alignment horizontal="right"/>
    </xf>
    <xf numFmtId="49" fontId="9" fillId="0" borderId="34" xfId="1" applyNumberFormat="1" applyFont="1" applyFill="1" applyBorder="1" applyAlignment="1">
      <alignment horizontal="right"/>
    </xf>
    <xf numFmtId="49" fontId="10" fillId="3" borderId="36" xfId="0" applyNumberFormat="1" applyFont="1" applyFill="1" applyBorder="1" applyAlignment="1">
      <alignment horizontal="right"/>
    </xf>
    <xf numFmtId="0" fontId="10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1761744</xdr:colOff>
      <xdr:row>33</xdr:row>
      <xdr:rowOff>179832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48C7A6-FBED-4D37-8B66-AB453A5D576E}"/>
            </a:ext>
          </a:extLst>
        </xdr:cNvPr>
        <xdr:cNvSpPr txBox="1"/>
      </xdr:nvSpPr>
      <xdr:spPr>
        <a:xfrm>
          <a:off x="1999869" y="7561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F313A0-EAE4-4954-9C28-BA3A147A450C}"/>
            </a:ext>
          </a:extLst>
        </xdr:cNvPr>
        <xdr:cNvSpPr txBox="1"/>
      </xdr:nvSpPr>
      <xdr:spPr>
        <a:xfrm>
          <a:off x="1999869" y="7762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B5012D-70A3-4A06-BB08-14C853D306EB}"/>
            </a:ext>
          </a:extLst>
        </xdr:cNvPr>
        <xdr:cNvSpPr txBox="1"/>
      </xdr:nvSpPr>
      <xdr:spPr>
        <a:xfrm>
          <a:off x="1999869" y="7762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7FD0B4-C59B-4808-A5B5-0D980B5F10C7}"/>
            </a:ext>
          </a:extLst>
        </xdr:cNvPr>
        <xdr:cNvSpPr txBox="1"/>
      </xdr:nvSpPr>
      <xdr:spPr>
        <a:xfrm>
          <a:off x="1999869" y="8524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31</xdr:row>
      <xdr:rowOff>179832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872C17-3B5F-43C7-8FD7-9EC3496104BD}"/>
            </a:ext>
          </a:extLst>
        </xdr:cNvPr>
        <xdr:cNvSpPr txBox="1"/>
      </xdr:nvSpPr>
      <xdr:spPr>
        <a:xfrm>
          <a:off x="1999869" y="7180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31</xdr:row>
      <xdr:rowOff>179832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9E77C0-F2DA-4EF6-BFB0-49C90840D34C}"/>
            </a:ext>
          </a:extLst>
        </xdr:cNvPr>
        <xdr:cNvSpPr txBox="1"/>
      </xdr:nvSpPr>
      <xdr:spPr>
        <a:xfrm>
          <a:off x="1999869" y="7180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32</xdr:row>
      <xdr:rowOff>179832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7605E1-BAED-4B93-A56E-065B75AAFC4E}"/>
            </a:ext>
          </a:extLst>
        </xdr:cNvPr>
        <xdr:cNvSpPr txBox="1"/>
      </xdr:nvSpPr>
      <xdr:spPr>
        <a:xfrm>
          <a:off x="1999869" y="7371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255270</xdr:colOff>
      <xdr:row>40</xdr:row>
      <xdr:rowOff>140970</xdr:rowOff>
    </xdr:from>
    <xdr:to>
      <xdr:col>2</xdr:col>
      <xdr:colOff>255270</xdr:colOff>
      <xdr:row>42</xdr:row>
      <xdr:rowOff>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E270D2E3-81AF-4D30-AA4F-1FF53A6BE6BE}"/>
            </a:ext>
          </a:extLst>
        </xdr:cNvPr>
        <xdr:cNvSpPr txBox="1"/>
      </xdr:nvSpPr>
      <xdr:spPr>
        <a:xfrm>
          <a:off x="3522345" y="8856345"/>
          <a:ext cx="0" cy="354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en-US"/>
        </a:p>
      </xdr:txBody>
    </xdr:sp>
    <xdr:clientData/>
  </xdr:two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C368B8C-F820-4A67-A977-E6FB80F4BE31}"/>
            </a:ext>
          </a:extLst>
        </xdr:cNvPr>
        <xdr:cNvSpPr txBox="1"/>
      </xdr:nvSpPr>
      <xdr:spPr>
        <a:xfrm>
          <a:off x="1999869" y="8334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35</xdr:row>
      <xdr:rowOff>179832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37283D-35CD-4A4F-945B-3E3208422F31}"/>
            </a:ext>
          </a:extLst>
        </xdr:cNvPr>
        <xdr:cNvSpPr txBox="1"/>
      </xdr:nvSpPr>
      <xdr:spPr>
        <a:xfrm>
          <a:off x="1999869" y="7942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34</xdr:row>
      <xdr:rowOff>179832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5057E14-C093-4D3F-A46A-D60BBA8F5383}"/>
            </a:ext>
          </a:extLst>
        </xdr:cNvPr>
        <xdr:cNvSpPr txBox="1"/>
      </xdr:nvSpPr>
      <xdr:spPr>
        <a:xfrm>
          <a:off x="1999869" y="7752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33</xdr:row>
      <xdr:rowOff>179832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AFC764-B390-45E6-B5BF-3A315E63749C}"/>
            </a:ext>
          </a:extLst>
        </xdr:cNvPr>
        <xdr:cNvSpPr txBox="1"/>
      </xdr:nvSpPr>
      <xdr:spPr>
        <a:xfrm>
          <a:off x="1999869" y="7561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61F9C16-768D-49D1-8B2E-AA7CD4207B36}"/>
            </a:ext>
          </a:extLst>
        </xdr:cNvPr>
        <xdr:cNvSpPr txBox="1"/>
      </xdr:nvSpPr>
      <xdr:spPr>
        <a:xfrm>
          <a:off x="1999869" y="7953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783ECEA-E87E-4F38-9A31-A12F11A18378}"/>
            </a:ext>
          </a:extLst>
        </xdr:cNvPr>
        <xdr:cNvSpPr txBox="1"/>
      </xdr:nvSpPr>
      <xdr:spPr>
        <a:xfrm>
          <a:off x="1999869" y="7953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F0263BC-81C2-4F2F-8DF8-D3150CA9A23D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35</xdr:row>
      <xdr:rowOff>179832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08D2923-107A-4AAE-B282-038E1A8FCED3}"/>
            </a:ext>
          </a:extLst>
        </xdr:cNvPr>
        <xdr:cNvSpPr txBox="1"/>
      </xdr:nvSpPr>
      <xdr:spPr>
        <a:xfrm>
          <a:off x="1999869" y="7942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ACE41A9-3ACF-4678-9558-76A13DEC3D44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B3D293A-A044-49FD-8BD7-8FCDC15BFB3D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5A3F002-CD73-49C5-8EA7-3547744A93E1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6FDAF43-88FE-4AFD-9AD9-E0F110C7331B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509AC76-79F7-49C4-BB01-7EE187172DAD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39323D4-C9CD-4E87-816D-A2BFCD4DD2FE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A908E2F-C684-4B8C-8B63-A14170A6B70B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C9FB516-E8E2-4ECF-95F8-2BD111588675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A157D7F-A2FA-4D22-8CC3-A306CC39AD7E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F8053B-D842-4360-8BCC-63B12EF83EAD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95B314C-5A59-459C-A1CC-E6209DEC44AC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FEDE4DD-E5EE-4FDD-9A91-8833AD4003CA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6DDC1D3-BCE6-4489-9C5B-A17BD5CDD19E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768678E-B34C-4CF8-90B0-C5C8D98735B1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1ACC5F8-ED4D-477D-8018-EBEB15ED58E9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0EBA075-EDE5-42C8-84E9-7B03778D9397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CD158E2-E75F-4808-A8E7-0EE404E7B845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02ADC6-A6AC-4926-AE51-3DC06C9A3B7A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265289C-12AD-42FF-917B-2FC71B279E0A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A037F2D-702A-487E-A9E0-1A803AA480D5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F4A3FE2-596D-4FE2-9395-4C60DB1403C2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1A2736D-6A5D-4271-8F99-FCE322722B47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2629227-79BF-45FE-8781-9E2597F38A35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A535BC-A8E7-43D6-BCCB-6D3BC9BDEC11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67BED67-CD2C-4343-BDCF-969A73C74995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6F2E549-C698-45AF-878C-1DD6E09CE13E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C4B789-AC8E-4CE3-8387-98EEED5F15A6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8843166-1259-4CF9-B8A0-E3C96403409D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5470C1E-AAC1-4E27-853F-FA9074D5412B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179832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947ABC4-ED06-4997-97F1-8BE56C9A3D86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B68D75D-72F4-40E0-B790-636EFA0B3D53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2697CE8-A02A-4FDF-B15F-EFC19B2CE943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7D30333-EC60-400B-9056-E8BBDE4E40A6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F748F80-B5CB-4601-9E8C-CC21D43CFC9D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179832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A07B644-FDDD-442F-B007-B6DF4AAFA33C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703AC50-E288-4CDB-9D84-2C028B44EDA2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179832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E9E8F87-0F5A-4DE3-B781-B3B15F509271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179832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19A37C9-0244-4E07-A732-0E70C6238937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15875</xdr:colOff>
      <xdr:row>0</xdr:row>
      <xdr:rowOff>73025</xdr:rowOff>
    </xdr:from>
    <xdr:to>
      <xdr:col>1</xdr:col>
      <xdr:colOff>1330331</xdr:colOff>
      <xdr:row>2</xdr:row>
      <xdr:rowOff>198360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7F55596-F2CB-4ADD-8D37-BBB8CE44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" y="73025"/>
          <a:ext cx="1314456" cy="658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1761744</xdr:colOff>
      <xdr:row>38</xdr:row>
      <xdr:rowOff>179832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7DCFA7-3BED-4FB6-93DB-C07B81EC3C23}"/>
            </a:ext>
          </a:extLst>
        </xdr:cNvPr>
        <xdr:cNvSpPr txBox="1"/>
      </xdr:nvSpPr>
      <xdr:spPr>
        <a:xfrm>
          <a:off x="1999869" y="7561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1C5D7E-7EFB-4007-8E83-8CA8EB37F1C3}"/>
            </a:ext>
          </a:extLst>
        </xdr:cNvPr>
        <xdr:cNvSpPr txBox="1"/>
      </xdr:nvSpPr>
      <xdr:spPr>
        <a:xfrm>
          <a:off x="1999869" y="7762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D0F72D-A8E2-4B43-B0A6-4AA6E1B2F2FE}"/>
            </a:ext>
          </a:extLst>
        </xdr:cNvPr>
        <xdr:cNvSpPr txBox="1"/>
      </xdr:nvSpPr>
      <xdr:spPr>
        <a:xfrm>
          <a:off x="1999869" y="7762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44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FE2FC5-E404-4943-82E8-2D2C3349DD48}"/>
            </a:ext>
          </a:extLst>
        </xdr:cNvPr>
        <xdr:cNvSpPr txBox="1"/>
      </xdr:nvSpPr>
      <xdr:spPr>
        <a:xfrm>
          <a:off x="1999869" y="8524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97563A-541D-49DA-A8B2-684C08ACDB8B}"/>
            </a:ext>
          </a:extLst>
        </xdr:cNvPr>
        <xdr:cNvSpPr txBox="1"/>
      </xdr:nvSpPr>
      <xdr:spPr>
        <a:xfrm>
          <a:off x="1999869" y="7180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36</xdr:row>
      <xdr:rowOff>179832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F984FA-7277-4758-AFE9-2FD00A8F8BF4}"/>
            </a:ext>
          </a:extLst>
        </xdr:cNvPr>
        <xdr:cNvSpPr txBox="1"/>
      </xdr:nvSpPr>
      <xdr:spPr>
        <a:xfrm>
          <a:off x="1999869" y="7180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37</xdr:row>
      <xdr:rowOff>179832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DF04AB-7B32-4692-B13E-C3DDC0C0B7CF}"/>
            </a:ext>
          </a:extLst>
        </xdr:cNvPr>
        <xdr:cNvSpPr txBox="1"/>
      </xdr:nvSpPr>
      <xdr:spPr>
        <a:xfrm>
          <a:off x="1999869" y="7371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255270</xdr:colOff>
      <xdr:row>45</xdr:row>
      <xdr:rowOff>140970</xdr:rowOff>
    </xdr:from>
    <xdr:to>
      <xdr:col>2</xdr:col>
      <xdr:colOff>255270</xdr:colOff>
      <xdr:row>47</xdr:row>
      <xdr:rowOff>114300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2577CFE0-F58C-4362-B6E8-68D0FCDD14CC}"/>
            </a:ext>
          </a:extLst>
        </xdr:cNvPr>
        <xdr:cNvSpPr txBox="1"/>
      </xdr:nvSpPr>
      <xdr:spPr>
        <a:xfrm>
          <a:off x="3522345" y="8856345"/>
          <a:ext cx="0" cy="3543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en-US"/>
        </a:p>
      </xdr:txBody>
    </xdr:sp>
    <xdr:clientData/>
  </xdr:twoCellAnchor>
  <xdr:oneCellAnchor>
    <xdr:from>
      <xdr:col>1</xdr:col>
      <xdr:colOff>1761744</xdr:colOff>
      <xdr:row>43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5E1E465-7CA3-4545-A173-8C1B6C1B6133}"/>
            </a:ext>
          </a:extLst>
        </xdr:cNvPr>
        <xdr:cNvSpPr txBox="1"/>
      </xdr:nvSpPr>
      <xdr:spPr>
        <a:xfrm>
          <a:off x="1999869" y="8334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40</xdr:row>
      <xdr:rowOff>179832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23B221-72D0-4AE9-A776-7453A48CD6A8}"/>
            </a:ext>
          </a:extLst>
        </xdr:cNvPr>
        <xdr:cNvSpPr txBox="1"/>
      </xdr:nvSpPr>
      <xdr:spPr>
        <a:xfrm>
          <a:off x="1999869" y="7942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39</xdr:row>
      <xdr:rowOff>179832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C415627-D903-41C7-918A-4429A7F2BEE2}"/>
            </a:ext>
          </a:extLst>
        </xdr:cNvPr>
        <xdr:cNvSpPr txBox="1"/>
      </xdr:nvSpPr>
      <xdr:spPr>
        <a:xfrm>
          <a:off x="1999869" y="7752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38</xdr:row>
      <xdr:rowOff>179832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AB65B2-FBF1-45E2-886F-33EFFB7E4214}"/>
            </a:ext>
          </a:extLst>
        </xdr:cNvPr>
        <xdr:cNvSpPr txBox="1"/>
      </xdr:nvSpPr>
      <xdr:spPr>
        <a:xfrm>
          <a:off x="1999869" y="7561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2DAFE4-9D2A-415C-BAB8-7EE0A4BC8EE0}"/>
            </a:ext>
          </a:extLst>
        </xdr:cNvPr>
        <xdr:cNvSpPr txBox="1"/>
      </xdr:nvSpPr>
      <xdr:spPr>
        <a:xfrm>
          <a:off x="1999869" y="7953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D09C45D-9B1C-4767-A3A9-63AFC7844789}"/>
            </a:ext>
          </a:extLst>
        </xdr:cNvPr>
        <xdr:cNvSpPr txBox="1"/>
      </xdr:nvSpPr>
      <xdr:spPr>
        <a:xfrm>
          <a:off x="1999869" y="7953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179832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74308E4-F13A-4B8C-AB88-F237C4F8F250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40</xdr:row>
      <xdr:rowOff>179832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BB84750-B683-4944-A6FC-488FBC58E96F}"/>
            </a:ext>
          </a:extLst>
        </xdr:cNvPr>
        <xdr:cNvSpPr txBox="1"/>
      </xdr:nvSpPr>
      <xdr:spPr>
        <a:xfrm>
          <a:off x="1999869" y="7942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179832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B3604D-9237-4293-86B3-2112AB470891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80FB0A-E35F-40B4-90BC-AD2557E8971E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1957D34-DDAB-42DF-89B3-1352D994E334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179832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FE852BA-DED0-4056-B6DD-E0DBA67A2CF6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179832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E4608C0-70EC-4B82-90A0-AA0EB9B8F97F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179832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D1BAC68-58A1-4B1A-A9C4-41D89DB59F1A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17D8567-41BC-479C-AD71-4B8FCC8941B7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2146BC7-DD29-46CC-A8DB-833157EE7A51}"/>
            </a:ext>
          </a:extLst>
        </xdr:cNvPr>
        <xdr:cNvSpPr txBox="1"/>
      </xdr:nvSpPr>
      <xdr:spPr>
        <a:xfrm>
          <a:off x="1999869" y="81438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179832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63D03B8-39F0-4E1B-BFDD-293869249D47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41</xdr:row>
      <xdr:rowOff>179832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0C8207D-0DE6-4F62-8193-7DA437D86AD8}"/>
            </a:ext>
          </a:extLst>
        </xdr:cNvPr>
        <xdr:cNvSpPr txBox="1"/>
      </xdr:nvSpPr>
      <xdr:spPr>
        <a:xfrm>
          <a:off x="1999869" y="81332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179832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6E8FF9-0C8E-436C-AC9F-CA8FCD66D482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1761744</xdr:colOff>
      <xdr:row>42</xdr:row>
      <xdr:rowOff>179832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376D6FC-E512-4FC8-9DF0-BC363A971AF7}"/>
            </a:ext>
          </a:extLst>
        </xdr:cNvPr>
        <xdr:cNvSpPr txBox="1"/>
      </xdr:nvSpPr>
      <xdr:spPr>
        <a:xfrm>
          <a:off x="1999869" y="832370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31750</xdr:colOff>
      <xdr:row>0</xdr:row>
      <xdr:rowOff>57150</xdr:rowOff>
    </xdr:from>
    <xdr:to>
      <xdr:col>1</xdr:col>
      <xdr:colOff>1346206</xdr:colOff>
      <xdr:row>2</xdr:row>
      <xdr:rowOff>347585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0B3C0F2-F919-444E-90AC-09819C90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57150"/>
          <a:ext cx="1314456" cy="658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819A-FE48-4910-9B33-C5902B69954E}">
  <dimension ref="A1:W60"/>
  <sheetViews>
    <sheetView tabSelected="1" zoomScaleNormal="100" workbookViewId="0">
      <selection activeCell="B6" sqref="B6"/>
    </sheetView>
  </sheetViews>
  <sheetFormatPr baseColWidth="10" defaultColWidth="8.83203125" defaultRowHeight="15" x14ac:dyDescent="0.2"/>
  <cols>
    <col min="1" max="1" width="3.5" customWidth="1"/>
    <col min="2" max="2" width="45.5" customWidth="1"/>
    <col min="3" max="3" width="15.33203125" customWidth="1"/>
    <col min="4" max="4" width="9.5" customWidth="1"/>
    <col min="5" max="6" width="9.83203125" bestFit="1" customWidth="1"/>
    <col min="7" max="14" width="10.5" bestFit="1" customWidth="1"/>
    <col min="15" max="15" width="10.5" customWidth="1"/>
    <col min="16" max="16" width="14.5" customWidth="1"/>
    <col min="23" max="23" width="11.5" customWidth="1"/>
  </cols>
  <sheetData>
    <row r="1" spans="1:23" ht="21" customHeight="1" x14ac:dyDescent="0.2">
      <c r="A1" s="165" t="s">
        <v>53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23" ht="21" customHeight="1" x14ac:dyDescent="0.2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</row>
    <row r="3" spans="1:23" ht="21.5" customHeight="1" thickBo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" ht="22.25" customHeight="1" thickBot="1" x14ac:dyDescent="0.25">
      <c r="A4" s="1"/>
      <c r="B4" s="2" t="s">
        <v>0</v>
      </c>
      <c r="C4" s="3"/>
      <c r="D4" s="4" t="s">
        <v>1</v>
      </c>
      <c r="E4" s="5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7" t="s">
        <v>13</v>
      </c>
      <c r="R4" s="164" t="s">
        <v>77</v>
      </c>
      <c r="S4" s="164"/>
      <c r="T4" s="164"/>
      <c r="U4" s="164"/>
      <c r="V4" s="164"/>
      <c r="W4" s="164"/>
    </row>
    <row r="5" spans="1:23" x14ac:dyDescent="0.2">
      <c r="A5" s="1"/>
      <c r="B5" s="8"/>
      <c r="C5" s="9" t="s">
        <v>71</v>
      </c>
      <c r="D5" s="10"/>
      <c r="E5" s="11">
        <f>E7*0.33</f>
        <v>2.31</v>
      </c>
      <c r="F5" s="11">
        <f t="shared" ref="F5:O5" si="0">F7*0.33</f>
        <v>4.29</v>
      </c>
      <c r="G5" s="11">
        <f t="shared" si="0"/>
        <v>6.6000000000000005</v>
      </c>
      <c r="H5" s="11">
        <f t="shared" si="0"/>
        <v>7.92</v>
      </c>
      <c r="I5" s="11">
        <f t="shared" si="0"/>
        <v>8.58</v>
      </c>
      <c r="J5" s="11">
        <f t="shared" si="0"/>
        <v>9.9</v>
      </c>
      <c r="K5" s="11">
        <f t="shared" si="0"/>
        <v>11.22</v>
      </c>
      <c r="L5" s="11">
        <f t="shared" si="0"/>
        <v>11.88</v>
      </c>
      <c r="M5" s="11">
        <f t="shared" si="0"/>
        <v>11.88</v>
      </c>
      <c r="N5" s="11">
        <f t="shared" si="0"/>
        <v>11.88</v>
      </c>
      <c r="O5" s="11">
        <f t="shared" si="0"/>
        <v>11.88</v>
      </c>
      <c r="P5" s="14"/>
      <c r="R5" s="164"/>
      <c r="S5" s="164"/>
      <c r="T5" s="164"/>
      <c r="U5" s="164"/>
      <c r="V5" s="164"/>
      <c r="W5" s="164"/>
    </row>
    <row r="6" spans="1:23" x14ac:dyDescent="0.2">
      <c r="A6" s="1"/>
      <c r="B6" s="12"/>
      <c r="C6" s="9" t="s">
        <v>72</v>
      </c>
      <c r="D6" s="13"/>
      <c r="E6" s="11">
        <f>E7*0.66</f>
        <v>4.62</v>
      </c>
      <c r="F6" s="11">
        <f t="shared" ref="F6:O6" si="1">F7*0.66</f>
        <v>8.58</v>
      </c>
      <c r="G6" s="11">
        <f t="shared" si="1"/>
        <v>13.200000000000001</v>
      </c>
      <c r="H6" s="11">
        <f t="shared" si="1"/>
        <v>15.84</v>
      </c>
      <c r="I6" s="11">
        <f t="shared" si="1"/>
        <v>17.16</v>
      </c>
      <c r="J6" s="11">
        <f t="shared" si="1"/>
        <v>19.8</v>
      </c>
      <c r="K6" s="11">
        <f t="shared" si="1"/>
        <v>22.44</v>
      </c>
      <c r="L6" s="11">
        <f t="shared" si="1"/>
        <v>23.76</v>
      </c>
      <c r="M6" s="11">
        <f t="shared" si="1"/>
        <v>23.76</v>
      </c>
      <c r="N6" s="11">
        <f t="shared" si="1"/>
        <v>23.76</v>
      </c>
      <c r="O6" s="11">
        <f t="shared" si="1"/>
        <v>23.76</v>
      </c>
      <c r="P6" s="16"/>
      <c r="R6" s="164"/>
      <c r="S6" s="164"/>
      <c r="T6" s="164"/>
      <c r="U6" s="164"/>
      <c r="V6" s="164"/>
      <c r="W6" s="164"/>
    </row>
    <row r="7" spans="1:23" x14ac:dyDescent="0.2">
      <c r="B7" s="8"/>
      <c r="C7" s="17" t="s">
        <v>15</v>
      </c>
      <c r="D7" s="18">
        <v>0</v>
      </c>
      <c r="E7" s="19">
        <v>7</v>
      </c>
      <c r="F7" s="19">
        <v>13</v>
      </c>
      <c r="G7" s="19">
        <v>20</v>
      </c>
      <c r="H7" s="19">
        <v>24</v>
      </c>
      <c r="I7" s="19">
        <v>26</v>
      </c>
      <c r="J7" s="19">
        <v>30</v>
      </c>
      <c r="K7" s="19">
        <v>34</v>
      </c>
      <c r="L7" s="19">
        <v>36</v>
      </c>
      <c r="M7" s="19">
        <v>36</v>
      </c>
      <c r="N7" s="19">
        <v>36</v>
      </c>
      <c r="O7" s="19">
        <v>36</v>
      </c>
      <c r="P7" s="20"/>
      <c r="R7" s="164"/>
      <c r="S7" s="164"/>
      <c r="T7" s="164"/>
      <c r="U7" s="164"/>
      <c r="V7" s="164"/>
      <c r="W7" s="164"/>
    </row>
    <row r="8" spans="1:23" s="21" customFormat="1" x14ac:dyDescent="0.2">
      <c r="B8" s="22"/>
      <c r="C8" s="23"/>
      <c r="D8" s="151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27"/>
      <c r="R8" s="164"/>
      <c r="S8" s="164"/>
      <c r="T8" s="164"/>
      <c r="U8" s="164"/>
      <c r="V8" s="164"/>
      <c r="W8" s="164"/>
    </row>
    <row r="9" spans="1:23" s="155" customFormat="1" ht="16" thickBot="1" x14ac:dyDescent="0.25">
      <c r="B9" s="163" t="s">
        <v>94</v>
      </c>
      <c r="C9" s="159"/>
      <c r="D9" s="159"/>
      <c r="E9" s="160" t="s">
        <v>96</v>
      </c>
      <c r="F9" s="160" t="s">
        <v>96</v>
      </c>
      <c r="G9" s="160" t="s">
        <v>97</v>
      </c>
      <c r="H9" s="160" t="s">
        <v>98</v>
      </c>
      <c r="I9" s="160" t="s">
        <v>99</v>
      </c>
      <c r="J9" s="160" t="s">
        <v>98</v>
      </c>
      <c r="K9" s="160" t="s">
        <v>98</v>
      </c>
      <c r="L9" s="160" t="s">
        <v>98</v>
      </c>
      <c r="M9" s="160" t="s">
        <v>98</v>
      </c>
      <c r="N9" s="160" t="s">
        <v>98</v>
      </c>
      <c r="O9" s="161" t="s">
        <v>98</v>
      </c>
      <c r="P9" s="162"/>
      <c r="R9" s="164"/>
      <c r="S9" s="164"/>
      <c r="T9" s="164"/>
      <c r="U9" s="164"/>
      <c r="V9" s="164"/>
      <c r="W9" s="164"/>
    </row>
    <row r="10" spans="1:23" ht="16" thickBot="1" x14ac:dyDescent="0.25">
      <c r="A10" s="30"/>
      <c r="B10" s="32"/>
      <c r="C10" s="15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</row>
    <row r="11" spans="1:23" ht="24" customHeight="1" thickBot="1" x14ac:dyDescent="0.25">
      <c r="A11" s="1"/>
      <c r="B11" s="35" t="s">
        <v>18</v>
      </c>
      <c r="C11" s="36"/>
      <c r="D11" s="36"/>
    </row>
    <row r="12" spans="1:23" ht="16" thickBot="1" x14ac:dyDescent="0.25">
      <c r="A12" s="1"/>
      <c r="B12" s="37" t="s">
        <v>19</v>
      </c>
      <c r="C12" s="38" t="s">
        <v>20</v>
      </c>
      <c r="D12" s="4" t="s">
        <v>1</v>
      </c>
      <c r="E12" s="39" t="s">
        <v>2</v>
      </c>
      <c r="F12" s="6" t="s">
        <v>3</v>
      </c>
      <c r="G12" s="6" t="s">
        <v>4</v>
      </c>
      <c r="H12" s="6" t="s">
        <v>5</v>
      </c>
      <c r="I12" s="6" t="s">
        <v>6</v>
      </c>
      <c r="J12" s="6" t="s">
        <v>7</v>
      </c>
      <c r="K12" s="6" t="s">
        <v>8</v>
      </c>
      <c r="L12" s="6" t="s">
        <v>9</v>
      </c>
      <c r="M12" s="6" t="s">
        <v>10</v>
      </c>
      <c r="N12" s="6" t="s">
        <v>11</v>
      </c>
      <c r="O12" s="6" t="s">
        <v>12</v>
      </c>
      <c r="P12" s="7" t="s">
        <v>13</v>
      </c>
    </row>
    <row r="13" spans="1:23" ht="15" customHeight="1" x14ac:dyDescent="0.2">
      <c r="A13" s="1"/>
      <c r="B13" s="40" t="s">
        <v>21</v>
      </c>
      <c r="C13" s="41" t="s">
        <v>22</v>
      </c>
      <c r="D13" s="42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5"/>
      <c r="R13" s="164" t="s">
        <v>83</v>
      </c>
      <c r="S13" s="164"/>
      <c r="T13" s="164"/>
      <c r="U13" s="164"/>
      <c r="V13" s="164"/>
      <c r="W13" s="164"/>
    </row>
    <row r="14" spans="1:23" x14ac:dyDescent="0.2">
      <c r="A14" s="1"/>
      <c r="B14" s="46" t="s">
        <v>54</v>
      </c>
      <c r="C14" s="47">
        <f>153*12</f>
        <v>1836</v>
      </c>
      <c r="D14" s="48"/>
      <c r="E14" s="49">
        <f t="shared" ref="E14:O14" si="2">(+$C$14)*(E$7)</f>
        <v>12852</v>
      </c>
      <c r="F14" s="50">
        <f t="shared" si="2"/>
        <v>23868</v>
      </c>
      <c r="G14" s="50">
        <f t="shared" si="2"/>
        <v>36720</v>
      </c>
      <c r="H14" s="50">
        <f t="shared" si="2"/>
        <v>44064</v>
      </c>
      <c r="I14" s="50">
        <f t="shared" si="2"/>
        <v>47736</v>
      </c>
      <c r="J14" s="50">
        <f t="shared" si="2"/>
        <v>55080</v>
      </c>
      <c r="K14" s="50">
        <f t="shared" si="2"/>
        <v>62424</v>
      </c>
      <c r="L14" s="50">
        <f t="shared" si="2"/>
        <v>66096</v>
      </c>
      <c r="M14" s="50">
        <f t="shared" si="2"/>
        <v>66096</v>
      </c>
      <c r="N14" s="50">
        <f t="shared" si="2"/>
        <v>66096</v>
      </c>
      <c r="O14" s="50">
        <f t="shared" si="2"/>
        <v>66096</v>
      </c>
      <c r="P14" s="51">
        <f>SUM(E14:O14)</f>
        <v>547128</v>
      </c>
      <c r="R14" s="164"/>
      <c r="S14" s="164"/>
      <c r="T14" s="164"/>
      <c r="U14" s="164"/>
      <c r="V14" s="164"/>
      <c r="W14" s="164"/>
    </row>
    <row r="15" spans="1:23" x14ac:dyDescent="0.2">
      <c r="A15" s="1"/>
      <c r="B15" s="53" t="s">
        <v>78</v>
      </c>
      <c r="C15" s="47"/>
      <c r="D15" s="54">
        <f t="shared" ref="D15:P15" si="3">SUM(D14:D14)</f>
        <v>0</v>
      </c>
      <c r="E15" s="55">
        <f t="shared" si="3"/>
        <v>12852</v>
      </c>
      <c r="F15" s="56">
        <f t="shared" si="3"/>
        <v>23868</v>
      </c>
      <c r="G15" s="56">
        <f t="shared" si="3"/>
        <v>36720</v>
      </c>
      <c r="H15" s="56">
        <f t="shared" si="3"/>
        <v>44064</v>
      </c>
      <c r="I15" s="56">
        <f t="shared" si="3"/>
        <v>47736</v>
      </c>
      <c r="J15" s="56">
        <f t="shared" si="3"/>
        <v>55080</v>
      </c>
      <c r="K15" s="56">
        <f t="shared" si="3"/>
        <v>62424</v>
      </c>
      <c r="L15" s="56">
        <f t="shared" si="3"/>
        <v>66096</v>
      </c>
      <c r="M15" s="56">
        <f t="shared" si="3"/>
        <v>66096</v>
      </c>
      <c r="N15" s="56">
        <f t="shared" si="3"/>
        <v>66096</v>
      </c>
      <c r="O15" s="56">
        <f t="shared" si="3"/>
        <v>66096</v>
      </c>
      <c r="P15" s="57">
        <f t="shared" si="3"/>
        <v>547128</v>
      </c>
      <c r="R15" s="164"/>
      <c r="S15" s="164"/>
      <c r="T15" s="164"/>
      <c r="U15" s="164"/>
      <c r="V15" s="164"/>
      <c r="W15" s="164"/>
    </row>
    <row r="16" spans="1:23" x14ac:dyDescent="0.2">
      <c r="A16" s="1"/>
      <c r="B16" s="58"/>
      <c r="C16" s="59"/>
      <c r="D16" s="60"/>
      <c r="E16" s="61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57"/>
      <c r="R16" s="164"/>
      <c r="S16" s="164"/>
      <c r="T16" s="164"/>
      <c r="U16" s="164"/>
      <c r="V16" s="164"/>
      <c r="W16" s="164"/>
    </row>
    <row r="17" spans="1:23" x14ac:dyDescent="0.2">
      <c r="A17" s="1"/>
      <c r="B17" s="63" t="s">
        <v>79</v>
      </c>
      <c r="C17" s="59">
        <f>6*153</f>
        <v>918</v>
      </c>
      <c r="D17" s="60"/>
      <c r="E17" s="64">
        <f t="shared" ref="E17:O17" si="4">(+$C$17)*(E$7)</f>
        <v>6426</v>
      </c>
      <c r="F17" s="65">
        <f t="shared" si="4"/>
        <v>11934</v>
      </c>
      <c r="G17" s="65">
        <f t="shared" si="4"/>
        <v>18360</v>
      </c>
      <c r="H17" s="65">
        <f t="shared" si="4"/>
        <v>22032</v>
      </c>
      <c r="I17" s="65">
        <f t="shared" si="4"/>
        <v>23868</v>
      </c>
      <c r="J17" s="65">
        <f t="shared" si="4"/>
        <v>27540</v>
      </c>
      <c r="K17" s="65">
        <f t="shared" si="4"/>
        <v>31212</v>
      </c>
      <c r="L17" s="65">
        <f t="shared" si="4"/>
        <v>33048</v>
      </c>
      <c r="M17" s="65">
        <f t="shared" si="4"/>
        <v>33048</v>
      </c>
      <c r="N17" s="65">
        <f t="shared" si="4"/>
        <v>33048</v>
      </c>
      <c r="O17" s="65">
        <f t="shared" si="4"/>
        <v>33048</v>
      </c>
      <c r="P17" s="51">
        <f t="shared" ref="P17:P18" si="5">SUM(E17:O17)</f>
        <v>273564</v>
      </c>
      <c r="R17" s="164"/>
      <c r="S17" s="164"/>
      <c r="T17" s="164"/>
      <c r="U17" s="164"/>
      <c r="V17" s="164"/>
      <c r="W17" s="164"/>
    </row>
    <row r="18" spans="1:23" x14ac:dyDescent="0.2">
      <c r="A18" s="1"/>
      <c r="B18" s="63" t="s">
        <v>80</v>
      </c>
      <c r="C18" s="66">
        <v>4000</v>
      </c>
      <c r="D18" s="67"/>
      <c r="E18" s="68">
        <f t="shared" ref="E18:O18" si="6">(+$C$18)*(E$7)</f>
        <v>28000</v>
      </c>
      <c r="F18" s="69">
        <f t="shared" si="6"/>
        <v>52000</v>
      </c>
      <c r="G18" s="69">
        <f t="shared" si="6"/>
        <v>80000</v>
      </c>
      <c r="H18" s="69">
        <f t="shared" si="6"/>
        <v>96000</v>
      </c>
      <c r="I18" s="69">
        <f t="shared" si="6"/>
        <v>104000</v>
      </c>
      <c r="J18" s="69">
        <f t="shared" si="6"/>
        <v>120000</v>
      </c>
      <c r="K18" s="69">
        <f t="shared" si="6"/>
        <v>136000</v>
      </c>
      <c r="L18" s="69">
        <f t="shared" si="6"/>
        <v>144000</v>
      </c>
      <c r="M18" s="69">
        <f t="shared" si="6"/>
        <v>144000</v>
      </c>
      <c r="N18" s="69">
        <f t="shared" si="6"/>
        <v>144000</v>
      </c>
      <c r="O18" s="69">
        <f t="shared" si="6"/>
        <v>144000</v>
      </c>
      <c r="P18" s="52">
        <f t="shared" si="5"/>
        <v>1192000</v>
      </c>
      <c r="R18" s="164"/>
      <c r="S18" s="164"/>
      <c r="T18" s="164"/>
      <c r="U18" s="164"/>
      <c r="V18" s="164"/>
      <c r="W18" s="164"/>
    </row>
    <row r="19" spans="1:23" x14ac:dyDescent="0.2">
      <c r="B19" s="70" t="s">
        <v>26</v>
      </c>
      <c r="C19" s="61"/>
      <c r="D19" s="71">
        <f>SUM(D17:D18)</f>
        <v>0</v>
      </c>
      <c r="E19" s="61">
        <f>SUM(E17:E18)</f>
        <v>34426</v>
      </c>
      <c r="F19" s="62">
        <f t="shared" ref="F19:O19" si="7">SUM(F17:F18)</f>
        <v>63934</v>
      </c>
      <c r="G19" s="62">
        <f t="shared" si="7"/>
        <v>98360</v>
      </c>
      <c r="H19" s="62">
        <f t="shared" si="7"/>
        <v>118032</v>
      </c>
      <c r="I19" s="62">
        <f t="shared" si="7"/>
        <v>127868</v>
      </c>
      <c r="J19" s="62">
        <f t="shared" si="7"/>
        <v>147540</v>
      </c>
      <c r="K19" s="62">
        <f t="shared" si="7"/>
        <v>167212</v>
      </c>
      <c r="L19" s="62">
        <f t="shared" si="7"/>
        <v>177048</v>
      </c>
      <c r="M19" s="62">
        <f t="shared" si="7"/>
        <v>177048</v>
      </c>
      <c r="N19" s="62">
        <f t="shared" si="7"/>
        <v>177048</v>
      </c>
      <c r="O19" s="62">
        <f t="shared" si="7"/>
        <v>177048</v>
      </c>
      <c r="P19" s="72">
        <f>SUM(E19:O19)</f>
        <v>1465564</v>
      </c>
      <c r="R19" s="164"/>
      <c r="S19" s="164"/>
      <c r="T19" s="164"/>
      <c r="U19" s="164"/>
      <c r="V19" s="164"/>
      <c r="W19" s="164"/>
    </row>
    <row r="20" spans="1:23" ht="16" thickBot="1" x14ac:dyDescent="0.25">
      <c r="A20" s="30"/>
      <c r="B20" s="70"/>
      <c r="C20" s="61"/>
      <c r="D20" s="71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72"/>
      <c r="R20" s="164"/>
      <c r="S20" s="164"/>
      <c r="T20" s="164"/>
      <c r="U20" s="164"/>
      <c r="V20" s="164"/>
      <c r="W20" s="164"/>
    </row>
    <row r="21" spans="1:23" x14ac:dyDescent="0.2">
      <c r="A21" s="30"/>
      <c r="B21" s="73" t="s">
        <v>27</v>
      </c>
      <c r="C21" s="74">
        <f>SUM(C14:C18)</f>
        <v>6754</v>
      </c>
      <c r="D21" s="75"/>
      <c r="E21" s="76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57"/>
    </row>
    <row r="22" spans="1:23" ht="16" thickBot="1" x14ac:dyDescent="0.25">
      <c r="A22" s="1"/>
      <c r="B22" s="31" t="s">
        <v>28</v>
      </c>
      <c r="C22" s="77">
        <f>153*30</f>
        <v>4590</v>
      </c>
      <c r="D22" s="60"/>
      <c r="E22" s="76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57"/>
    </row>
    <row r="23" spans="1:23" x14ac:dyDescent="0.2">
      <c r="A23" s="1"/>
      <c r="B23" s="78"/>
      <c r="C23" s="79"/>
      <c r="D23" s="80"/>
      <c r="E23" s="61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57"/>
    </row>
    <row r="24" spans="1:23" x14ac:dyDescent="0.2">
      <c r="A24" s="1"/>
      <c r="B24" s="81" t="s">
        <v>29</v>
      </c>
      <c r="C24" s="82"/>
      <c r="D24" s="83"/>
      <c r="E24" s="84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85"/>
    </row>
    <row r="25" spans="1:23" x14ac:dyDescent="0.2">
      <c r="A25" s="1"/>
      <c r="B25" s="8" t="s">
        <v>30</v>
      </c>
      <c r="C25" s="82"/>
      <c r="D25" s="86">
        <v>45000</v>
      </c>
      <c r="E25" s="87">
        <v>55000</v>
      </c>
      <c r="F25" s="88">
        <v>110000</v>
      </c>
      <c r="G25" s="88">
        <v>65000</v>
      </c>
      <c r="H25" s="88">
        <v>25000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51">
        <f>SUM(D25:O25)</f>
        <v>300000</v>
      </c>
      <c r="R25" s="164" t="s">
        <v>81</v>
      </c>
      <c r="S25" s="164"/>
      <c r="T25" s="164"/>
      <c r="U25" s="164"/>
      <c r="V25" s="164"/>
      <c r="W25" s="164"/>
    </row>
    <row r="26" spans="1:23" x14ac:dyDescent="0.2">
      <c r="A26" s="30"/>
      <c r="B26" s="8" t="s">
        <v>82</v>
      </c>
      <c r="C26" s="82">
        <f>3000*2</f>
        <v>6000</v>
      </c>
      <c r="D26" s="89"/>
      <c r="E26" s="90">
        <f t="shared" ref="E26:O26" si="8">($C$26*E7)*0.75</f>
        <v>31500</v>
      </c>
      <c r="F26" s="91">
        <f t="shared" si="8"/>
        <v>58500</v>
      </c>
      <c r="G26" s="91">
        <f t="shared" si="8"/>
        <v>90000</v>
      </c>
      <c r="H26" s="91">
        <f t="shared" si="8"/>
        <v>108000</v>
      </c>
      <c r="I26" s="91">
        <f t="shared" si="8"/>
        <v>117000</v>
      </c>
      <c r="J26" s="91">
        <f t="shared" si="8"/>
        <v>135000</v>
      </c>
      <c r="K26" s="91">
        <f t="shared" si="8"/>
        <v>153000</v>
      </c>
      <c r="L26" s="91">
        <f t="shared" si="8"/>
        <v>162000</v>
      </c>
      <c r="M26" s="91">
        <f t="shared" si="8"/>
        <v>162000</v>
      </c>
      <c r="N26" s="91">
        <f t="shared" si="8"/>
        <v>162000</v>
      </c>
      <c r="O26" s="91">
        <f t="shared" si="8"/>
        <v>162000</v>
      </c>
      <c r="P26" s="52">
        <f>SUM(D26:O26)</f>
        <v>1341000</v>
      </c>
      <c r="R26" s="164"/>
      <c r="S26" s="164"/>
      <c r="T26" s="164"/>
      <c r="U26" s="164"/>
      <c r="V26" s="164"/>
      <c r="W26" s="164"/>
    </row>
    <row r="27" spans="1:23" x14ac:dyDescent="0.2">
      <c r="A27" s="1"/>
      <c r="B27" s="70" t="s">
        <v>31</v>
      </c>
      <c r="C27" s="82"/>
      <c r="D27" s="92">
        <f t="shared" ref="D27:O27" si="9">SUM(D25:D26)</f>
        <v>45000</v>
      </c>
      <c r="E27" s="93">
        <f t="shared" si="9"/>
        <v>86500</v>
      </c>
      <c r="F27" s="94">
        <f t="shared" si="9"/>
        <v>168500</v>
      </c>
      <c r="G27" s="94">
        <f t="shared" si="9"/>
        <v>155000</v>
      </c>
      <c r="H27" s="94">
        <f t="shared" si="9"/>
        <v>133000</v>
      </c>
      <c r="I27" s="94">
        <f t="shared" si="9"/>
        <v>117000</v>
      </c>
      <c r="J27" s="94">
        <f t="shared" si="9"/>
        <v>135000</v>
      </c>
      <c r="K27" s="94">
        <f t="shared" si="9"/>
        <v>153000</v>
      </c>
      <c r="L27" s="94">
        <f t="shared" si="9"/>
        <v>162000</v>
      </c>
      <c r="M27" s="94">
        <f t="shared" si="9"/>
        <v>162000</v>
      </c>
      <c r="N27" s="94">
        <f t="shared" si="9"/>
        <v>162000</v>
      </c>
      <c r="O27" s="94">
        <f t="shared" si="9"/>
        <v>162000</v>
      </c>
      <c r="P27" s="95">
        <f>SUM(D27:O27)</f>
        <v>1641000</v>
      </c>
      <c r="R27" s="164"/>
      <c r="S27" s="164"/>
      <c r="T27" s="164"/>
      <c r="U27" s="164"/>
      <c r="V27" s="164"/>
      <c r="W27" s="164"/>
    </row>
    <row r="28" spans="1:23" x14ac:dyDescent="0.2">
      <c r="A28" s="1"/>
      <c r="B28" s="8"/>
      <c r="C28" s="82"/>
      <c r="D28" s="89"/>
      <c r="E28" s="96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72"/>
      <c r="R28" s="164"/>
      <c r="S28" s="164"/>
      <c r="T28" s="164"/>
      <c r="U28" s="164"/>
      <c r="V28" s="164"/>
      <c r="W28" s="164"/>
    </row>
    <row r="29" spans="1:23" x14ac:dyDescent="0.2">
      <c r="A29" s="1"/>
      <c r="B29" s="98" t="s">
        <v>32</v>
      </c>
      <c r="C29" s="93"/>
      <c r="D29" s="99">
        <f t="shared" ref="D29:P29" si="10">+D19+D27</f>
        <v>45000</v>
      </c>
      <c r="E29" s="100">
        <f t="shared" si="10"/>
        <v>120926</v>
      </c>
      <c r="F29" s="101">
        <f t="shared" si="10"/>
        <v>232434</v>
      </c>
      <c r="G29" s="101">
        <f t="shared" si="10"/>
        <v>253360</v>
      </c>
      <c r="H29" s="101">
        <f t="shared" si="10"/>
        <v>251032</v>
      </c>
      <c r="I29" s="101">
        <f t="shared" si="10"/>
        <v>244868</v>
      </c>
      <c r="J29" s="101">
        <f t="shared" si="10"/>
        <v>282540</v>
      </c>
      <c r="K29" s="101">
        <f t="shared" si="10"/>
        <v>320212</v>
      </c>
      <c r="L29" s="101">
        <f t="shared" si="10"/>
        <v>339048</v>
      </c>
      <c r="M29" s="101">
        <f t="shared" si="10"/>
        <v>339048</v>
      </c>
      <c r="N29" s="101">
        <f t="shared" si="10"/>
        <v>339048</v>
      </c>
      <c r="O29" s="101">
        <f t="shared" si="10"/>
        <v>339048</v>
      </c>
      <c r="P29" s="102">
        <f t="shared" si="10"/>
        <v>3106564</v>
      </c>
      <c r="R29" s="164"/>
      <c r="S29" s="164"/>
      <c r="T29" s="164"/>
      <c r="U29" s="164"/>
      <c r="V29" s="164"/>
      <c r="W29" s="164"/>
    </row>
    <row r="30" spans="1:23" x14ac:dyDescent="0.2">
      <c r="A30" s="1"/>
      <c r="B30" s="103" t="s">
        <v>33</v>
      </c>
      <c r="C30" s="96"/>
      <c r="D30" s="86"/>
      <c r="E30" s="96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85"/>
    </row>
    <row r="31" spans="1:23" x14ac:dyDescent="0.2">
      <c r="A31" s="104"/>
      <c r="B31" s="105" t="s">
        <v>34</v>
      </c>
      <c r="C31" s="96"/>
      <c r="D31" s="86"/>
      <c r="E31" s="96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85"/>
    </row>
    <row r="32" spans="1:23" x14ac:dyDescent="0.2">
      <c r="A32" s="30"/>
      <c r="B32" s="106" t="s">
        <v>35</v>
      </c>
      <c r="C32" s="107" t="s">
        <v>36</v>
      </c>
      <c r="D32" s="108"/>
      <c r="E32" s="96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72"/>
      <c r="R32" s="164" t="s">
        <v>84</v>
      </c>
      <c r="S32" s="164"/>
      <c r="T32" s="164"/>
      <c r="U32" s="164"/>
      <c r="V32" s="164"/>
      <c r="W32" s="164"/>
    </row>
    <row r="33" spans="1:23" ht="15" customHeight="1" x14ac:dyDescent="0.2">
      <c r="A33" s="1"/>
      <c r="B33" s="63" t="s">
        <v>73</v>
      </c>
      <c r="C33" s="59">
        <f>((65000*0.29)+65000)*0.55</f>
        <v>46117.500000000007</v>
      </c>
      <c r="D33" s="60">
        <f>+C33*0.5</f>
        <v>23058.750000000004</v>
      </c>
      <c r="E33" s="96">
        <f>+C33</f>
        <v>46117.500000000007</v>
      </c>
      <c r="F33" s="97">
        <f t="shared" ref="F33:O36" si="11">+E33</f>
        <v>46117.500000000007</v>
      </c>
      <c r="G33" s="97">
        <f t="shared" si="11"/>
        <v>46117.500000000007</v>
      </c>
      <c r="H33" s="97">
        <f t="shared" si="11"/>
        <v>46117.500000000007</v>
      </c>
      <c r="I33" s="97">
        <f t="shared" si="11"/>
        <v>46117.500000000007</v>
      </c>
      <c r="J33" s="97">
        <f t="shared" si="11"/>
        <v>46117.500000000007</v>
      </c>
      <c r="K33" s="97">
        <f t="shared" si="11"/>
        <v>46117.500000000007</v>
      </c>
      <c r="L33" s="97">
        <f t="shared" si="11"/>
        <v>46117.500000000007</v>
      </c>
      <c r="M33" s="97">
        <f t="shared" si="11"/>
        <v>46117.500000000007</v>
      </c>
      <c r="N33" s="97">
        <f t="shared" si="11"/>
        <v>46117.500000000007</v>
      </c>
      <c r="O33" s="97">
        <f t="shared" si="11"/>
        <v>46117.500000000007</v>
      </c>
      <c r="P33" s="72">
        <f>SUM(E33:O33)</f>
        <v>507292.50000000006</v>
      </c>
      <c r="R33" s="164"/>
      <c r="S33" s="164"/>
      <c r="T33" s="164"/>
      <c r="U33" s="164"/>
      <c r="V33" s="164"/>
      <c r="W33" s="164"/>
    </row>
    <row r="34" spans="1:23" x14ac:dyDescent="0.2">
      <c r="A34" s="30"/>
      <c r="B34" s="109" t="s">
        <v>74</v>
      </c>
      <c r="C34" s="59">
        <f>(42000*0.35)+42000</f>
        <v>56700</v>
      </c>
      <c r="D34" s="60"/>
      <c r="E34" s="96">
        <f>+C34</f>
        <v>56700</v>
      </c>
      <c r="F34" s="97">
        <f t="shared" si="11"/>
        <v>56700</v>
      </c>
      <c r="G34" s="97">
        <f t="shared" si="11"/>
        <v>56700</v>
      </c>
      <c r="H34" s="97">
        <f t="shared" si="11"/>
        <v>56700</v>
      </c>
      <c r="I34" s="97">
        <f t="shared" si="11"/>
        <v>56700</v>
      </c>
      <c r="J34" s="97">
        <f t="shared" si="11"/>
        <v>56700</v>
      </c>
      <c r="K34" s="97">
        <f t="shared" si="11"/>
        <v>56700</v>
      </c>
      <c r="L34" s="97">
        <f t="shared" si="11"/>
        <v>56700</v>
      </c>
      <c r="M34" s="97">
        <f t="shared" si="11"/>
        <v>56700</v>
      </c>
      <c r="N34" s="97">
        <f t="shared" si="11"/>
        <v>56700</v>
      </c>
      <c r="O34" s="97">
        <f t="shared" si="11"/>
        <v>56700</v>
      </c>
      <c r="P34" s="72">
        <f>SUM(E34:O34)</f>
        <v>623700</v>
      </c>
      <c r="R34" s="164"/>
      <c r="S34" s="164"/>
      <c r="T34" s="164"/>
      <c r="U34" s="164"/>
      <c r="V34" s="164"/>
      <c r="W34" s="164"/>
    </row>
    <row r="35" spans="1:23" x14ac:dyDescent="0.2">
      <c r="A35" s="30"/>
      <c r="B35" s="109" t="s">
        <v>75</v>
      </c>
      <c r="C35" s="59">
        <f>(42000*0.35)+42000</f>
        <v>56700</v>
      </c>
      <c r="D35" s="60"/>
      <c r="E35" s="96"/>
      <c r="F35" s="97">
        <f>+C35</f>
        <v>56700</v>
      </c>
      <c r="G35" s="97">
        <f t="shared" si="11"/>
        <v>56700</v>
      </c>
      <c r="H35" s="97">
        <f t="shared" ref="H35:O35" si="12">+F35</f>
        <v>56700</v>
      </c>
      <c r="I35" s="97">
        <f t="shared" si="12"/>
        <v>56700</v>
      </c>
      <c r="J35" s="97">
        <f t="shared" si="12"/>
        <v>56700</v>
      </c>
      <c r="K35" s="97">
        <f t="shared" si="12"/>
        <v>56700</v>
      </c>
      <c r="L35" s="97">
        <f t="shared" si="12"/>
        <v>56700</v>
      </c>
      <c r="M35" s="97">
        <f t="shared" si="12"/>
        <v>56700</v>
      </c>
      <c r="N35" s="97">
        <f t="shared" si="12"/>
        <v>56700</v>
      </c>
      <c r="O35" s="97">
        <f t="shared" si="12"/>
        <v>56700</v>
      </c>
      <c r="P35" s="72">
        <f>SUM(E35:O35)</f>
        <v>567000</v>
      </c>
      <c r="R35" s="164"/>
      <c r="S35" s="164"/>
      <c r="T35" s="164"/>
      <c r="U35" s="164"/>
      <c r="V35" s="164"/>
      <c r="W35" s="164"/>
    </row>
    <row r="36" spans="1:23" x14ac:dyDescent="0.2">
      <c r="A36" s="30"/>
      <c r="B36" s="109" t="s">
        <v>76</v>
      </c>
      <c r="C36" s="59">
        <f>(42000*0.35)+42000</f>
        <v>56700</v>
      </c>
      <c r="D36" s="60"/>
      <c r="E36" s="96"/>
      <c r="F36" s="97">
        <f>C36</f>
        <v>56700</v>
      </c>
      <c r="G36" s="97">
        <f t="shared" si="11"/>
        <v>56700</v>
      </c>
      <c r="H36" s="97">
        <f t="shared" ref="H36:O36" si="13">F36</f>
        <v>56700</v>
      </c>
      <c r="I36" s="97">
        <f t="shared" si="13"/>
        <v>56700</v>
      </c>
      <c r="J36" s="97">
        <f t="shared" si="13"/>
        <v>56700</v>
      </c>
      <c r="K36" s="97">
        <f t="shared" si="13"/>
        <v>56700</v>
      </c>
      <c r="L36" s="97">
        <f t="shared" si="13"/>
        <v>56700</v>
      </c>
      <c r="M36" s="97">
        <f t="shared" si="13"/>
        <v>56700</v>
      </c>
      <c r="N36" s="97">
        <f t="shared" si="13"/>
        <v>56700</v>
      </c>
      <c r="O36" s="97">
        <f t="shared" si="13"/>
        <v>56700</v>
      </c>
      <c r="P36" s="72">
        <f t="shared" ref="P36" si="14">SUM(E36:O36)</f>
        <v>567000</v>
      </c>
      <c r="R36" s="164"/>
      <c r="S36" s="164"/>
      <c r="T36" s="164"/>
      <c r="U36" s="164"/>
      <c r="V36" s="164"/>
      <c r="W36" s="164"/>
    </row>
    <row r="37" spans="1:23" x14ac:dyDescent="0.2">
      <c r="A37" s="30"/>
      <c r="B37" s="109" t="s">
        <v>76</v>
      </c>
      <c r="C37" s="59">
        <f>(42000*0.35)+42000</f>
        <v>56700</v>
      </c>
      <c r="D37" s="60"/>
      <c r="E37" s="96"/>
      <c r="F37" s="97"/>
      <c r="G37" s="97"/>
      <c r="H37" s="97"/>
      <c r="I37" s="97"/>
      <c r="J37" s="97">
        <f>+J36*0.5</f>
        <v>28350</v>
      </c>
      <c r="K37" s="97">
        <f>+K36</f>
        <v>56700</v>
      </c>
      <c r="L37" s="97">
        <f t="shared" ref="L37:O38" si="15">+K37</f>
        <v>56700</v>
      </c>
      <c r="M37" s="97">
        <f t="shared" si="15"/>
        <v>56700</v>
      </c>
      <c r="N37" s="97">
        <f t="shared" si="15"/>
        <v>56700</v>
      </c>
      <c r="O37" s="97">
        <f t="shared" si="15"/>
        <v>56700</v>
      </c>
      <c r="P37" s="72">
        <f t="shared" ref="P37:P38" si="16">SUM(E37:O37)</f>
        <v>311850</v>
      </c>
      <c r="R37" s="164"/>
      <c r="S37" s="164"/>
      <c r="T37" s="164"/>
      <c r="U37" s="164"/>
      <c r="V37" s="164"/>
      <c r="W37" s="164"/>
    </row>
    <row r="38" spans="1:23" x14ac:dyDescent="0.2">
      <c r="A38" s="30"/>
      <c r="B38" s="109" t="s">
        <v>76</v>
      </c>
      <c r="C38" s="59">
        <f>(42000*0.35)+42000</f>
        <v>56700</v>
      </c>
      <c r="D38" s="60"/>
      <c r="E38" s="96"/>
      <c r="F38" s="97"/>
      <c r="G38" s="97"/>
      <c r="H38" s="97"/>
      <c r="I38" s="97"/>
      <c r="J38" s="97"/>
      <c r="K38" s="97">
        <f>+C38*0.5</f>
        <v>28350</v>
      </c>
      <c r="L38" s="97">
        <f t="shared" si="15"/>
        <v>28350</v>
      </c>
      <c r="M38" s="97">
        <f t="shared" si="15"/>
        <v>28350</v>
      </c>
      <c r="N38" s="97">
        <f t="shared" si="15"/>
        <v>28350</v>
      </c>
      <c r="O38" s="97">
        <f t="shared" si="15"/>
        <v>28350</v>
      </c>
      <c r="P38" s="72">
        <f t="shared" si="16"/>
        <v>141750</v>
      </c>
      <c r="R38" s="164"/>
      <c r="S38" s="164"/>
      <c r="T38" s="164"/>
      <c r="U38" s="164"/>
      <c r="V38" s="164"/>
      <c r="W38" s="164"/>
    </row>
    <row r="39" spans="1:23" x14ac:dyDescent="0.2">
      <c r="A39" s="30"/>
      <c r="B39" s="109"/>
      <c r="C39" s="59"/>
      <c r="D39" s="60"/>
      <c r="E39" s="96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72"/>
      <c r="R39" s="164"/>
      <c r="S39" s="164"/>
      <c r="T39" s="164"/>
      <c r="U39" s="164"/>
      <c r="V39" s="164"/>
      <c r="W39" s="164"/>
    </row>
    <row r="40" spans="1:23" x14ac:dyDescent="0.2">
      <c r="B40" s="110" t="s">
        <v>38</v>
      </c>
      <c r="C40" s="59"/>
      <c r="D40" s="60"/>
      <c r="E40" s="96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72"/>
    </row>
    <row r="41" spans="1:23" x14ac:dyDescent="0.2">
      <c r="B41" s="109" t="s">
        <v>39</v>
      </c>
      <c r="C41" s="59">
        <f>10*14*32</f>
        <v>4480</v>
      </c>
      <c r="D41" s="60"/>
      <c r="E41" s="96">
        <f t="shared" ref="E41:O41" si="17">+$C$41*E$7</f>
        <v>31360</v>
      </c>
      <c r="F41" s="97">
        <f t="shared" si="17"/>
        <v>58240</v>
      </c>
      <c r="G41" s="97">
        <f t="shared" si="17"/>
        <v>89600</v>
      </c>
      <c r="H41" s="97">
        <f t="shared" si="17"/>
        <v>107520</v>
      </c>
      <c r="I41" s="97">
        <f t="shared" si="17"/>
        <v>116480</v>
      </c>
      <c r="J41" s="97">
        <f t="shared" si="17"/>
        <v>134400</v>
      </c>
      <c r="K41" s="97">
        <f t="shared" si="17"/>
        <v>152320</v>
      </c>
      <c r="L41" s="97">
        <f t="shared" si="17"/>
        <v>161280</v>
      </c>
      <c r="M41" s="97">
        <f t="shared" si="17"/>
        <v>161280</v>
      </c>
      <c r="N41" s="97">
        <f t="shared" si="17"/>
        <v>161280</v>
      </c>
      <c r="O41" s="97">
        <f t="shared" si="17"/>
        <v>161280</v>
      </c>
      <c r="P41" s="72">
        <f>SUM(D41:O41)</f>
        <v>1335040</v>
      </c>
      <c r="R41" s="164" t="s">
        <v>85</v>
      </c>
      <c r="S41" s="164"/>
      <c r="T41" s="164"/>
      <c r="U41" s="164"/>
      <c r="V41" s="164"/>
      <c r="W41" s="164"/>
    </row>
    <row r="42" spans="1:23" x14ac:dyDescent="0.2">
      <c r="B42" s="109" t="s">
        <v>55</v>
      </c>
      <c r="C42" s="59"/>
      <c r="D42" s="60"/>
      <c r="E42" s="86">
        <f>-(E41)</f>
        <v>-31360</v>
      </c>
      <c r="F42" s="86">
        <f t="shared" ref="F42:O42" si="18">-(F41)</f>
        <v>-58240</v>
      </c>
      <c r="G42" s="86">
        <f t="shared" si="18"/>
        <v>-89600</v>
      </c>
      <c r="H42" s="86">
        <f t="shared" si="18"/>
        <v>-107520</v>
      </c>
      <c r="I42" s="86">
        <f t="shared" si="18"/>
        <v>-116480</v>
      </c>
      <c r="J42" s="86">
        <f t="shared" si="18"/>
        <v>-134400</v>
      </c>
      <c r="K42" s="86">
        <f t="shared" si="18"/>
        <v>-152320</v>
      </c>
      <c r="L42" s="86">
        <f t="shared" si="18"/>
        <v>-161280</v>
      </c>
      <c r="M42" s="86">
        <f t="shared" si="18"/>
        <v>-161280</v>
      </c>
      <c r="N42" s="86">
        <f t="shared" si="18"/>
        <v>-161280</v>
      </c>
      <c r="O42" s="96">
        <f t="shared" si="18"/>
        <v>-161280</v>
      </c>
      <c r="P42" s="72">
        <f>SUM(D42:O42)</f>
        <v>-1335040</v>
      </c>
      <c r="R42" s="164"/>
      <c r="S42" s="164"/>
      <c r="T42" s="164"/>
      <c r="U42" s="164"/>
      <c r="V42" s="164"/>
      <c r="W42" s="164"/>
    </row>
    <row r="43" spans="1:23" x14ac:dyDescent="0.2">
      <c r="B43" s="114" t="s">
        <v>40</v>
      </c>
      <c r="C43" s="115"/>
      <c r="D43" s="116">
        <f t="shared" ref="D43:O43" si="19">SUM(D32:D42)</f>
        <v>23058.750000000004</v>
      </c>
      <c r="E43" s="117">
        <f t="shared" si="19"/>
        <v>102817.5</v>
      </c>
      <c r="F43" s="118">
        <f t="shared" si="19"/>
        <v>216217.5</v>
      </c>
      <c r="G43" s="118">
        <f t="shared" si="19"/>
        <v>216217.5</v>
      </c>
      <c r="H43" s="118">
        <f t="shared" si="19"/>
        <v>216217.5</v>
      </c>
      <c r="I43" s="118">
        <f t="shared" si="19"/>
        <v>216217.5</v>
      </c>
      <c r="J43" s="118">
        <f t="shared" si="19"/>
        <v>244567.5</v>
      </c>
      <c r="K43" s="118">
        <f t="shared" si="19"/>
        <v>301267.5</v>
      </c>
      <c r="L43" s="118">
        <f t="shared" si="19"/>
        <v>301267.5</v>
      </c>
      <c r="M43" s="118">
        <f t="shared" si="19"/>
        <v>301267.5</v>
      </c>
      <c r="N43" s="118">
        <f t="shared" si="19"/>
        <v>301267.5</v>
      </c>
      <c r="O43" s="118">
        <f t="shared" si="19"/>
        <v>301267.5</v>
      </c>
      <c r="P43" s="72">
        <f>SUM(D43:O43)</f>
        <v>2741651.25</v>
      </c>
      <c r="R43" s="164"/>
      <c r="S43" s="164"/>
      <c r="T43" s="164"/>
      <c r="U43" s="164"/>
      <c r="V43" s="164"/>
      <c r="W43" s="164"/>
    </row>
    <row r="44" spans="1:23" x14ac:dyDescent="0.2">
      <c r="B44" s="114"/>
      <c r="C44" s="115"/>
      <c r="D44" s="119"/>
      <c r="E44" s="115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1"/>
    </row>
    <row r="45" spans="1:23" x14ac:dyDescent="0.2">
      <c r="B45" s="105" t="s">
        <v>41</v>
      </c>
      <c r="C45" s="115"/>
      <c r="D45" s="119"/>
      <c r="E45" s="115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72"/>
    </row>
    <row r="46" spans="1:23" x14ac:dyDescent="0.2">
      <c r="B46" s="8" t="s">
        <v>42</v>
      </c>
      <c r="C46" s="96"/>
      <c r="D46" s="86">
        <v>3000</v>
      </c>
      <c r="E46" s="96">
        <v>2000</v>
      </c>
      <c r="F46" s="97">
        <v>2000</v>
      </c>
      <c r="G46" s="97">
        <v>2000</v>
      </c>
      <c r="H46" s="97">
        <v>2000</v>
      </c>
      <c r="I46" s="97">
        <v>2000</v>
      </c>
      <c r="J46" s="97">
        <v>2000</v>
      </c>
      <c r="K46" s="97">
        <v>2000</v>
      </c>
      <c r="L46" s="97">
        <v>2000</v>
      </c>
      <c r="M46" s="97">
        <v>2000</v>
      </c>
      <c r="N46" s="97">
        <v>2000</v>
      </c>
      <c r="O46" s="97">
        <v>2000</v>
      </c>
      <c r="P46" s="72">
        <f>SUM(D46:O46)</f>
        <v>25000</v>
      </c>
      <c r="R46" s="164" t="s">
        <v>86</v>
      </c>
      <c r="S46" s="164"/>
      <c r="T46" s="164"/>
      <c r="U46" s="164"/>
      <c r="V46" s="164"/>
      <c r="W46" s="164"/>
    </row>
    <row r="47" spans="1:23" x14ac:dyDescent="0.2">
      <c r="B47" s="8" t="s">
        <v>43</v>
      </c>
      <c r="C47" s="96"/>
      <c r="D47" s="86">
        <v>2000</v>
      </c>
      <c r="E47" s="96">
        <v>3000</v>
      </c>
      <c r="F47" s="97">
        <v>2500</v>
      </c>
      <c r="G47" s="97">
        <v>2500</v>
      </c>
      <c r="H47" s="97">
        <v>1500</v>
      </c>
      <c r="I47" s="97">
        <v>1500</v>
      </c>
      <c r="J47" s="97">
        <v>1500</v>
      </c>
      <c r="K47" s="97">
        <v>1500</v>
      </c>
      <c r="L47" s="97">
        <v>1500</v>
      </c>
      <c r="M47" s="97">
        <v>1500</v>
      </c>
      <c r="N47" s="97">
        <v>1500</v>
      </c>
      <c r="O47" s="97">
        <v>1500</v>
      </c>
      <c r="P47" s="72">
        <f t="shared" ref="P47:P52" si="20">SUM(D47:O47)</f>
        <v>22000</v>
      </c>
      <c r="R47" s="164"/>
      <c r="S47" s="164"/>
      <c r="T47" s="164"/>
      <c r="U47" s="164"/>
      <c r="V47" s="164"/>
      <c r="W47" s="164"/>
    </row>
    <row r="48" spans="1:23" x14ac:dyDescent="0.2">
      <c r="B48" s="8" t="s">
        <v>44</v>
      </c>
      <c r="C48" s="96"/>
      <c r="D48" s="86"/>
      <c r="E48" s="96"/>
      <c r="F48" s="97"/>
      <c r="G48" s="97"/>
      <c r="H48" s="97"/>
      <c r="I48" s="97">
        <v>10000</v>
      </c>
      <c r="J48" s="97">
        <v>10000</v>
      </c>
      <c r="K48" s="97">
        <v>10000</v>
      </c>
      <c r="L48" s="97">
        <v>10000</v>
      </c>
      <c r="M48" s="97">
        <v>10000</v>
      </c>
      <c r="N48" s="97">
        <v>10000</v>
      </c>
      <c r="O48" s="97">
        <v>10000</v>
      </c>
      <c r="P48" s="72">
        <f t="shared" si="20"/>
        <v>70000</v>
      </c>
      <c r="R48" s="164"/>
      <c r="S48" s="164"/>
      <c r="T48" s="164"/>
      <c r="U48" s="164"/>
      <c r="V48" s="164"/>
      <c r="W48" s="164"/>
    </row>
    <row r="49" spans="1:23" x14ac:dyDescent="0.2">
      <c r="A49" s="104"/>
      <c r="B49" s="8" t="s">
        <v>45</v>
      </c>
      <c r="C49" s="115"/>
      <c r="D49" s="119">
        <v>5000</v>
      </c>
      <c r="E49" s="115">
        <v>2500</v>
      </c>
      <c r="F49" s="120">
        <v>2500</v>
      </c>
      <c r="G49" s="120">
        <v>2500</v>
      </c>
      <c r="H49" s="120">
        <v>3000</v>
      </c>
      <c r="I49" s="120">
        <v>3000</v>
      </c>
      <c r="J49" s="120">
        <v>5000</v>
      </c>
      <c r="K49" s="120">
        <v>5000</v>
      </c>
      <c r="L49" s="120">
        <v>2500</v>
      </c>
      <c r="M49" s="120">
        <v>2500</v>
      </c>
      <c r="N49" s="120">
        <v>2500</v>
      </c>
      <c r="O49" s="120">
        <v>2500</v>
      </c>
      <c r="P49" s="72">
        <f t="shared" si="20"/>
        <v>38500</v>
      </c>
      <c r="R49" s="164"/>
      <c r="S49" s="164"/>
      <c r="T49" s="164"/>
      <c r="U49" s="164"/>
      <c r="V49" s="164"/>
      <c r="W49" s="164"/>
    </row>
    <row r="50" spans="1:23" x14ac:dyDescent="0.2">
      <c r="B50" s="8" t="s">
        <v>46</v>
      </c>
      <c r="C50" s="96"/>
      <c r="D50" s="86">
        <v>5000</v>
      </c>
      <c r="E50" s="96">
        <v>5000</v>
      </c>
      <c r="F50" s="97">
        <v>2500</v>
      </c>
      <c r="G50" s="97">
        <v>2500</v>
      </c>
      <c r="H50" s="97">
        <v>2500</v>
      </c>
      <c r="I50" s="97">
        <v>2500</v>
      </c>
      <c r="J50" s="97">
        <v>2500</v>
      </c>
      <c r="K50" s="97">
        <v>2500</v>
      </c>
      <c r="L50" s="97">
        <v>2500</v>
      </c>
      <c r="M50" s="97">
        <v>2500</v>
      </c>
      <c r="N50" s="97">
        <v>2500</v>
      </c>
      <c r="O50" s="97">
        <v>2500</v>
      </c>
      <c r="P50" s="72">
        <f t="shared" si="20"/>
        <v>35000</v>
      </c>
      <c r="R50" s="164"/>
      <c r="S50" s="164"/>
      <c r="T50" s="164"/>
      <c r="U50" s="164"/>
      <c r="V50" s="164"/>
      <c r="W50" s="164"/>
    </row>
    <row r="51" spans="1:23" x14ac:dyDescent="0.2">
      <c r="B51" s="8" t="s">
        <v>47</v>
      </c>
      <c r="C51" s="96"/>
      <c r="D51" s="86">
        <v>4000</v>
      </c>
      <c r="E51" s="96">
        <v>4000</v>
      </c>
      <c r="F51" s="97">
        <v>4000</v>
      </c>
      <c r="G51" s="97">
        <v>4000</v>
      </c>
      <c r="H51" s="97">
        <v>4000</v>
      </c>
      <c r="I51" s="97">
        <v>4000</v>
      </c>
      <c r="J51" s="97">
        <v>4000</v>
      </c>
      <c r="K51" s="97">
        <v>4000</v>
      </c>
      <c r="L51" s="97">
        <v>4000</v>
      </c>
      <c r="M51" s="97">
        <v>4000</v>
      </c>
      <c r="N51" s="97">
        <v>4000</v>
      </c>
      <c r="O51" s="97">
        <v>4000</v>
      </c>
      <c r="P51" s="72">
        <f t="shared" si="20"/>
        <v>48000</v>
      </c>
      <c r="R51" s="164"/>
      <c r="S51" s="164"/>
      <c r="T51" s="164"/>
      <c r="U51" s="164"/>
      <c r="V51" s="164"/>
      <c r="W51" s="164"/>
    </row>
    <row r="52" spans="1:23" x14ac:dyDescent="0.2">
      <c r="B52" s="8" t="s">
        <v>48</v>
      </c>
      <c r="C52" s="96"/>
      <c r="D52" s="122">
        <v>1500</v>
      </c>
      <c r="E52" s="111">
        <v>1500</v>
      </c>
      <c r="F52" s="112">
        <v>1500</v>
      </c>
      <c r="G52" s="112">
        <v>1500</v>
      </c>
      <c r="H52" s="112">
        <v>1500</v>
      </c>
      <c r="I52" s="112">
        <v>1500</v>
      </c>
      <c r="J52" s="112">
        <v>1500</v>
      </c>
      <c r="K52" s="112">
        <v>1500</v>
      </c>
      <c r="L52" s="112">
        <v>1500</v>
      </c>
      <c r="M52" s="112">
        <v>1500</v>
      </c>
      <c r="N52" s="112">
        <v>1500</v>
      </c>
      <c r="O52" s="112">
        <v>1500</v>
      </c>
      <c r="P52" s="72">
        <f t="shared" si="20"/>
        <v>18000</v>
      </c>
      <c r="R52" s="164"/>
      <c r="S52" s="164"/>
      <c r="T52" s="164"/>
      <c r="U52" s="164"/>
      <c r="V52" s="164"/>
      <c r="W52" s="164"/>
    </row>
    <row r="53" spans="1:23" x14ac:dyDescent="0.2">
      <c r="B53" s="114" t="s">
        <v>49</v>
      </c>
      <c r="C53" s="96"/>
      <c r="D53" s="92">
        <f t="shared" ref="D53:O53" si="21">SUM(D45:D52)</f>
        <v>20500</v>
      </c>
      <c r="E53" s="93">
        <f t="shared" si="21"/>
        <v>18000</v>
      </c>
      <c r="F53" s="94">
        <f t="shared" si="21"/>
        <v>15000</v>
      </c>
      <c r="G53" s="94">
        <f t="shared" si="21"/>
        <v>15000</v>
      </c>
      <c r="H53" s="94">
        <f t="shared" si="21"/>
        <v>14500</v>
      </c>
      <c r="I53" s="94">
        <f t="shared" si="21"/>
        <v>24500</v>
      </c>
      <c r="J53" s="94">
        <f t="shared" si="21"/>
        <v>26500</v>
      </c>
      <c r="K53" s="94">
        <f t="shared" si="21"/>
        <v>26500</v>
      </c>
      <c r="L53" s="94">
        <f t="shared" si="21"/>
        <v>24000</v>
      </c>
      <c r="M53" s="94">
        <f t="shared" si="21"/>
        <v>24000</v>
      </c>
      <c r="N53" s="94">
        <f t="shared" si="21"/>
        <v>24000</v>
      </c>
      <c r="O53" s="94">
        <f t="shared" si="21"/>
        <v>24000</v>
      </c>
      <c r="P53" s="72">
        <f>SUM(D53:O53)</f>
        <v>256500</v>
      </c>
      <c r="R53" s="164"/>
      <c r="S53" s="164"/>
      <c r="T53" s="164"/>
      <c r="U53" s="164"/>
      <c r="V53" s="164"/>
      <c r="W53" s="164"/>
    </row>
    <row r="54" spans="1:23" x14ac:dyDescent="0.2">
      <c r="B54" s="8"/>
      <c r="C54" s="96"/>
      <c r="D54" s="86"/>
      <c r="E54" s="96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72"/>
      <c r="R54" s="164"/>
      <c r="S54" s="164"/>
      <c r="T54" s="164"/>
      <c r="U54" s="164"/>
      <c r="V54" s="164"/>
      <c r="W54" s="164"/>
    </row>
    <row r="55" spans="1:23" x14ac:dyDescent="0.2">
      <c r="B55" s="98" t="s">
        <v>50</v>
      </c>
      <c r="C55" s="93"/>
      <c r="D55" s="92">
        <f t="shared" ref="D55:O55" si="22">+D43+D53</f>
        <v>43558.75</v>
      </c>
      <c r="E55" s="93">
        <f t="shared" si="22"/>
        <v>120817.5</v>
      </c>
      <c r="F55" s="94">
        <f t="shared" si="22"/>
        <v>231217.5</v>
      </c>
      <c r="G55" s="94">
        <f t="shared" si="22"/>
        <v>231217.5</v>
      </c>
      <c r="H55" s="94">
        <f t="shared" si="22"/>
        <v>230717.5</v>
      </c>
      <c r="I55" s="94">
        <f t="shared" si="22"/>
        <v>240717.5</v>
      </c>
      <c r="J55" s="94">
        <f t="shared" si="22"/>
        <v>271067.5</v>
      </c>
      <c r="K55" s="94">
        <f t="shared" si="22"/>
        <v>327767.5</v>
      </c>
      <c r="L55" s="94">
        <f t="shared" si="22"/>
        <v>325267.5</v>
      </c>
      <c r="M55" s="94">
        <f t="shared" si="22"/>
        <v>325267.5</v>
      </c>
      <c r="N55" s="94">
        <f t="shared" si="22"/>
        <v>325267.5</v>
      </c>
      <c r="O55" s="94">
        <f t="shared" si="22"/>
        <v>325267.5</v>
      </c>
      <c r="P55" s="72">
        <f>SUM(D55:O55)</f>
        <v>2998151.25</v>
      </c>
      <c r="R55" s="164"/>
      <c r="S55" s="164"/>
      <c r="T55" s="164"/>
      <c r="U55" s="164"/>
      <c r="V55" s="164"/>
      <c r="W55" s="164"/>
    </row>
    <row r="56" spans="1:23" ht="16" thickBot="1" x14ac:dyDescent="0.25">
      <c r="B56" s="123" t="s">
        <v>51</v>
      </c>
      <c r="C56" s="124"/>
      <c r="D56" s="125">
        <f t="shared" ref="D56:P56" si="23">+D29-D55</f>
        <v>1441.25</v>
      </c>
      <c r="E56" s="124">
        <f t="shared" si="23"/>
        <v>108.5</v>
      </c>
      <c r="F56" s="126">
        <f t="shared" si="23"/>
        <v>1216.5</v>
      </c>
      <c r="G56" s="126">
        <f t="shared" si="23"/>
        <v>22142.5</v>
      </c>
      <c r="H56" s="126">
        <f t="shared" si="23"/>
        <v>20314.5</v>
      </c>
      <c r="I56" s="126">
        <f t="shared" si="23"/>
        <v>4150.5</v>
      </c>
      <c r="J56" s="126">
        <f t="shared" si="23"/>
        <v>11472.5</v>
      </c>
      <c r="K56" s="126">
        <f t="shared" si="23"/>
        <v>-7555.5</v>
      </c>
      <c r="L56" s="126">
        <f t="shared" si="23"/>
        <v>13780.5</v>
      </c>
      <c r="M56" s="126">
        <f t="shared" si="23"/>
        <v>13780.5</v>
      </c>
      <c r="N56" s="126">
        <f t="shared" si="23"/>
        <v>13780.5</v>
      </c>
      <c r="O56" s="126">
        <f t="shared" si="23"/>
        <v>13780.5</v>
      </c>
      <c r="P56" s="127">
        <f t="shared" si="23"/>
        <v>108412.75</v>
      </c>
    </row>
    <row r="57" spans="1:23" ht="16" thickBot="1" x14ac:dyDescent="0.25">
      <c r="A57" s="1"/>
      <c r="B57" s="1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9"/>
    </row>
    <row r="58" spans="1:23" ht="15.75" customHeight="1" thickBot="1" x14ac:dyDescent="0.25">
      <c r="A58" s="130"/>
      <c r="C58" s="131" t="s">
        <v>52</v>
      </c>
      <c r="D58" s="132">
        <f>+D56</f>
        <v>1441.25</v>
      </c>
      <c r="E58" s="132">
        <f>+D58+E56</f>
        <v>1549.75</v>
      </c>
      <c r="F58" s="132">
        <f t="shared" ref="F58:O58" si="24">+E58+F56</f>
        <v>2766.25</v>
      </c>
      <c r="G58" s="132">
        <f t="shared" si="24"/>
        <v>24908.75</v>
      </c>
      <c r="H58" s="132">
        <f t="shared" si="24"/>
        <v>45223.25</v>
      </c>
      <c r="I58" s="132">
        <f t="shared" si="24"/>
        <v>49373.75</v>
      </c>
      <c r="J58" s="132">
        <f t="shared" si="24"/>
        <v>60846.25</v>
      </c>
      <c r="K58" s="132">
        <f t="shared" si="24"/>
        <v>53290.75</v>
      </c>
      <c r="L58" s="132">
        <f t="shared" si="24"/>
        <v>67071.25</v>
      </c>
      <c r="M58" s="132">
        <f t="shared" si="24"/>
        <v>80851.75</v>
      </c>
      <c r="N58" s="132">
        <f t="shared" si="24"/>
        <v>94632.25</v>
      </c>
      <c r="O58" s="133">
        <f t="shared" si="24"/>
        <v>108412.75</v>
      </c>
      <c r="P58" s="129"/>
      <c r="R58" s="164" t="s">
        <v>87</v>
      </c>
      <c r="S58" s="164"/>
      <c r="T58" s="164"/>
      <c r="U58" s="164"/>
      <c r="V58" s="164"/>
      <c r="W58" s="164"/>
    </row>
    <row r="59" spans="1:23" x14ac:dyDescent="0.2">
      <c r="A59" s="1"/>
      <c r="B59" s="1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9"/>
      <c r="R59" s="164"/>
      <c r="S59" s="164"/>
      <c r="T59" s="164"/>
      <c r="U59" s="164"/>
      <c r="V59" s="164"/>
      <c r="W59" s="164"/>
    </row>
    <row r="60" spans="1:23" x14ac:dyDescent="0.2">
      <c r="R60" s="164"/>
      <c r="S60" s="164"/>
      <c r="T60" s="164"/>
      <c r="U60" s="164"/>
      <c r="V60" s="164"/>
      <c r="W60" s="164"/>
    </row>
  </sheetData>
  <mergeCells count="8">
    <mergeCell ref="R58:W60"/>
    <mergeCell ref="R25:W29"/>
    <mergeCell ref="A1:P3"/>
    <mergeCell ref="R41:W43"/>
    <mergeCell ref="R46:W55"/>
    <mergeCell ref="R4:W9"/>
    <mergeCell ref="R13:W20"/>
    <mergeCell ref="R32:W39"/>
  </mergeCells>
  <pageMargins left="0.7" right="0.7" top="0.75" bottom="0.75" header="0.3" footer="0.3"/>
  <pageSetup scale="60" orientation="landscape" r:id="rId1"/>
  <rowBreaks count="1" manualBreakCount="1">
    <brk id="44" max="16383" man="1"/>
  </rowBreaks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EFC3-ED61-4E36-8C8B-85624F02C77D}">
  <dimension ref="A1:AC66"/>
  <sheetViews>
    <sheetView zoomScaleNormal="100" workbookViewId="0">
      <selection activeCell="L68" sqref="L68"/>
    </sheetView>
  </sheetViews>
  <sheetFormatPr baseColWidth="10" defaultColWidth="8.83203125" defaultRowHeight="15" x14ac:dyDescent="0.2"/>
  <cols>
    <col min="1" max="1" width="3.5" customWidth="1"/>
    <col min="2" max="2" width="45.5" customWidth="1"/>
    <col min="3" max="3" width="15.33203125" customWidth="1"/>
    <col min="4" max="4" width="9.5" customWidth="1"/>
    <col min="8" max="8" width="9.5" bestFit="1" customWidth="1"/>
    <col min="9" max="15" width="9.33203125" bestFit="1" customWidth="1"/>
    <col min="16" max="16" width="14.5" customWidth="1"/>
    <col min="23" max="23" width="11.5" customWidth="1"/>
  </cols>
  <sheetData>
    <row r="1" spans="1:29" x14ac:dyDescent="0.2">
      <c r="A1" s="165" t="s">
        <v>56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29" x14ac:dyDescent="0.2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</row>
    <row r="3" spans="1:29" ht="35" customHeight="1" thickBot="1" x14ac:dyDescent="0.2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R3" s="166"/>
      <c r="S3" s="166"/>
      <c r="T3" s="166"/>
      <c r="U3" s="166"/>
      <c r="V3" s="166"/>
      <c r="W3" s="166"/>
    </row>
    <row r="4" spans="1:29" ht="22.25" customHeight="1" thickBot="1" x14ac:dyDescent="0.25">
      <c r="A4" s="1"/>
      <c r="B4" s="2" t="s">
        <v>0</v>
      </c>
      <c r="C4" s="3"/>
      <c r="D4" s="4" t="s">
        <v>1</v>
      </c>
      <c r="E4" s="5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7" t="s">
        <v>13</v>
      </c>
      <c r="R4" s="166" t="s">
        <v>93</v>
      </c>
      <c r="S4" s="166"/>
      <c r="T4" s="166"/>
      <c r="U4" s="166"/>
      <c r="V4" s="166"/>
      <c r="W4" s="166"/>
    </row>
    <row r="5" spans="1:29" x14ac:dyDescent="0.2">
      <c r="A5" s="1"/>
      <c r="B5" s="8"/>
      <c r="C5" s="9" t="s">
        <v>57</v>
      </c>
      <c r="D5" s="10"/>
      <c r="E5" s="11">
        <v>5</v>
      </c>
      <c r="F5" s="11">
        <v>7</v>
      </c>
      <c r="G5" s="11">
        <v>7</v>
      </c>
      <c r="H5" s="11">
        <v>10</v>
      </c>
      <c r="I5" s="11">
        <v>10</v>
      </c>
      <c r="J5" s="11">
        <v>10</v>
      </c>
      <c r="K5" s="11">
        <v>10</v>
      </c>
      <c r="L5" s="11">
        <v>10</v>
      </c>
      <c r="M5" s="11">
        <v>10</v>
      </c>
      <c r="N5" s="11">
        <v>10</v>
      </c>
      <c r="O5" s="11">
        <v>10</v>
      </c>
      <c r="P5" s="134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</row>
    <row r="6" spans="1:29" x14ac:dyDescent="0.2">
      <c r="A6" s="1"/>
      <c r="B6" s="12"/>
      <c r="C6" s="9" t="s">
        <v>58</v>
      </c>
      <c r="D6" s="13"/>
      <c r="E6" s="11"/>
      <c r="F6" s="11">
        <v>4</v>
      </c>
      <c r="G6" s="11">
        <v>6</v>
      </c>
      <c r="H6" s="11">
        <v>6</v>
      </c>
      <c r="I6" s="11">
        <v>9</v>
      </c>
      <c r="J6" s="11">
        <v>9</v>
      </c>
      <c r="K6" s="11">
        <v>9</v>
      </c>
      <c r="L6" s="11">
        <v>9</v>
      </c>
      <c r="M6" s="11">
        <v>9</v>
      </c>
      <c r="N6" s="11">
        <v>9</v>
      </c>
      <c r="O6" s="11">
        <v>9</v>
      </c>
      <c r="P6" s="14" t="s">
        <v>14</v>
      </c>
      <c r="R6" s="164" t="s">
        <v>88</v>
      </c>
      <c r="S6" s="164"/>
      <c r="T6" s="164"/>
      <c r="U6" s="164"/>
      <c r="V6" s="164"/>
      <c r="W6" s="164"/>
      <c r="X6" s="153"/>
      <c r="Y6" s="153"/>
      <c r="Z6" s="153"/>
      <c r="AA6" s="153"/>
      <c r="AB6" s="153"/>
      <c r="AC6" s="153"/>
    </row>
    <row r="7" spans="1:29" x14ac:dyDescent="0.2">
      <c r="A7" s="1"/>
      <c r="B7" s="8"/>
      <c r="C7" s="9" t="s">
        <v>59</v>
      </c>
      <c r="D7" s="13"/>
      <c r="E7" s="11"/>
      <c r="F7" s="11"/>
      <c r="G7" s="11">
        <v>4</v>
      </c>
      <c r="H7" s="11">
        <v>6</v>
      </c>
      <c r="I7" s="11">
        <v>6</v>
      </c>
      <c r="J7" s="11">
        <v>9</v>
      </c>
      <c r="K7" s="15">
        <v>9</v>
      </c>
      <c r="L7" s="15">
        <v>9</v>
      </c>
      <c r="M7" s="15">
        <v>9</v>
      </c>
      <c r="N7" s="15">
        <v>9</v>
      </c>
      <c r="O7" s="11">
        <v>9</v>
      </c>
      <c r="P7" s="16">
        <f>SUM(H8:O8)</f>
        <v>53</v>
      </c>
      <c r="R7" s="164"/>
      <c r="S7" s="164"/>
      <c r="T7" s="164"/>
      <c r="U7" s="164"/>
      <c r="V7" s="164"/>
      <c r="W7" s="164"/>
      <c r="X7" s="153"/>
      <c r="Y7" s="153"/>
      <c r="Z7" s="153"/>
      <c r="AA7" s="153"/>
      <c r="AB7" s="153"/>
      <c r="AC7" s="153"/>
    </row>
    <row r="8" spans="1:29" x14ac:dyDescent="0.2">
      <c r="A8" s="1"/>
      <c r="B8" s="8"/>
      <c r="C8" s="9" t="s">
        <v>60</v>
      </c>
      <c r="D8" s="13"/>
      <c r="E8" s="11"/>
      <c r="F8" s="11"/>
      <c r="G8" s="11"/>
      <c r="H8" s="11">
        <v>3</v>
      </c>
      <c r="I8" s="11">
        <v>5</v>
      </c>
      <c r="J8" s="11">
        <v>5</v>
      </c>
      <c r="K8" s="135">
        <v>8</v>
      </c>
      <c r="L8" s="135">
        <v>8</v>
      </c>
      <c r="M8" s="135">
        <v>8</v>
      </c>
      <c r="N8" s="135">
        <v>8</v>
      </c>
      <c r="O8" s="136">
        <v>8</v>
      </c>
      <c r="P8" s="14" t="s">
        <v>61</v>
      </c>
      <c r="R8" s="164"/>
      <c r="S8" s="164"/>
      <c r="T8" s="164"/>
      <c r="U8" s="164"/>
      <c r="V8" s="164"/>
      <c r="W8" s="164"/>
      <c r="X8" s="153"/>
      <c r="Y8" s="153"/>
      <c r="Z8" s="153"/>
      <c r="AA8" s="153"/>
      <c r="AB8" s="153"/>
      <c r="AC8" s="153"/>
    </row>
    <row r="9" spans="1:29" x14ac:dyDescent="0.2">
      <c r="B9" s="8"/>
      <c r="C9" s="17" t="s">
        <v>15</v>
      </c>
      <c r="D9" s="18">
        <v>0</v>
      </c>
      <c r="E9" s="19">
        <f t="shared" ref="E9:G9" si="0">SUM(E5:E7)</f>
        <v>5</v>
      </c>
      <c r="F9" s="19">
        <f t="shared" si="0"/>
        <v>11</v>
      </c>
      <c r="G9" s="19">
        <f t="shared" si="0"/>
        <v>17</v>
      </c>
      <c r="H9" s="19">
        <f t="shared" ref="H9:O9" si="1">SUM(H5:H8)</f>
        <v>25</v>
      </c>
      <c r="I9" s="19">
        <f t="shared" si="1"/>
        <v>30</v>
      </c>
      <c r="J9" s="19">
        <f t="shared" si="1"/>
        <v>33</v>
      </c>
      <c r="K9" s="19">
        <f t="shared" si="1"/>
        <v>36</v>
      </c>
      <c r="L9" s="19">
        <f t="shared" si="1"/>
        <v>36</v>
      </c>
      <c r="M9" s="19">
        <f t="shared" si="1"/>
        <v>36</v>
      </c>
      <c r="N9" s="19">
        <f t="shared" si="1"/>
        <v>36</v>
      </c>
      <c r="O9" s="19">
        <f t="shared" si="1"/>
        <v>36</v>
      </c>
      <c r="P9" s="20">
        <f>SUM(O5:O7)</f>
        <v>28</v>
      </c>
      <c r="R9" s="164"/>
      <c r="S9" s="164"/>
      <c r="T9" s="164"/>
      <c r="U9" s="164"/>
      <c r="V9" s="164"/>
      <c r="W9" s="164"/>
      <c r="X9" s="153"/>
      <c r="Y9" s="153"/>
      <c r="Z9" s="153"/>
      <c r="AA9" s="153"/>
      <c r="AB9" s="153"/>
      <c r="AC9" s="153"/>
    </row>
    <row r="10" spans="1:29" s="21" customFormat="1" x14ac:dyDescent="0.2">
      <c r="B10" s="22"/>
      <c r="C10" s="23" t="s">
        <v>16</v>
      </c>
      <c r="D10" s="24"/>
      <c r="E10" s="25"/>
      <c r="F10" s="25"/>
      <c r="G10" s="26"/>
      <c r="H10" s="26">
        <f t="shared" ref="H10:O10" si="2">H8/E5</f>
        <v>0.6</v>
      </c>
      <c r="I10" s="26">
        <f t="shared" si="2"/>
        <v>0.7142857142857143</v>
      </c>
      <c r="J10" s="26">
        <f t="shared" si="2"/>
        <v>0.7142857142857143</v>
      </c>
      <c r="K10" s="26">
        <f t="shared" si="2"/>
        <v>0.8</v>
      </c>
      <c r="L10" s="26">
        <f t="shared" si="2"/>
        <v>0.8</v>
      </c>
      <c r="M10" s="26">
        <f t="shared" si="2"/>
        <v>0.8</v>
      </c>
      <c r="N10" s="26">
        <f t="shared" si="2"/>
        <v>0.8</v>
      </c>
      <c r="O10" s="26">
        <f t="shared" si="2"/>
        <v>0.8</v>
      </c>
      <c r="P10" s="27" t="s">
        <v>17</v>
      </c>
      <c r="R10" s="164"/>
      <c r="S10" s="164"/>
      <c r="T10" s="164"/>
      <c r="U10" s="164"/>
      <c r="V10" s="164"/>
      <c r="W10" s="164"/>
      <c r="X10" s="153"/>
      <c r="Y10" s="153"/>
      <c r="Z10" s="153"/>
      <c r="AA10" s="153"/>
      <c r="AB10" s="153"/>
      <c r="AC10" s="153"/>
    </row>
    <row r="11" spans="1:29" s="21" customFormat="1" x14ac:dyDescent="0.2">
      <c r="B11" s="156" t="s">
        <v>100</v>
      </c>
      <c r="C11" s="28"/>
      <c r="D11" s="157"/>
      <c r="E11" s="158" t="s">
        <v>96</v>
      </c>
      <c r="F11" s="158" t="s">
        <v>96</v>
      </c>
      <c r="G11" s="158" t="s">
        <v>95</v>
      </c>
      <c r="H11" s="158" t="s">
        <v>98</v>
      </c>
      <c r="I11" s="158" t="s">
        <v>98</v>
      </c>
      <c r="J11" s="158" t="s">
        <v>99</v>
      </c>
      <c r="K11" s="158" t="s">
        <v>98</v>
      </c>
      <c r="L11" s="158" t="s">
        <v>98</v>
      </c>
      <c r="M11" s="158" t="s">
        <v>98</v>
      </c>
      <c r="N11" s="158" t="s">
        <v>98</v>
      </c>
      <c r="O11" s="158" t="s">
        <v>98</v>
      </c>
      <c r="P11" s="29">
        <f>SUM(P7:P9)</f>
        <v>81</v>
      </c>
      <c r="R11" s="164"/>
      <c r="S11" s="164"/>
      <c r="T11" s="164"/>
      <c r="U11" s="164"/>
      <c r="V11" s="164"/>
      <c r="W11" s="164"/>
    </row>
    <row r="12" spans="1:29" x14ac:dyDescent="0.2">
      <c r="A12" s="30"/>
      <c r="B12" s="137" t="s">
        <v>62</v>
      </c>
      <c r="C12" s="138">
        <v>0.75</v>
      </c>
      <c r="D12" s="139">
        <v>0</v>
      </c>
      <c r="E12" s="140">
        <f>ROUNDUP(+E9*$C$12,0)</f>
        <v>4</v>
      </c>
      <c r="F12" s="140">
        <f>ROUNDUP(+F9*$C$12,0)</f>
        <v>9</v>
      </c>
      <c r="G12" s="140">
        <f t="shared" ref="G12:O12" si="3">ROUNDUP(+G9*$C$12,0)</f>
        <v>13</v>
      </c>
      <c r="H12" s="140">
        <f t="shared" si="3"/>
        <v>19</v>
      </c>
      <c r="I12" s="140">
        <f t="shared" si="3"/>
        <v>23</v>
      </c>
      <c r="J12" s="140">
        <f t="shared" si="3"/>
        <v>25</v>
      </c>
      <c r="K12" s="140">
        <f t="shared" si="3"/>
        <v>27</v>
      </c>
      <c r="L12" s="140">
        <f t="shared" si="3"/>
        <v>27</v>
      </c>
      <c r="M12" s="140">
        <f t="shared" si="3"/>
        <v>27</v>
      </c>
      <c r="N12" s="140">
        <f t="shared" si="3"/>
        <v>27</v>
      </c>
      <c r="O12" s="140">
        <f t="shared" si="3"/>
        <v>27</v>
      </c>
      <c r="P12" s="141"/>
    </row>
    <row r="13" spans="1:29" ht="16" thickBot="1" x14ac:dyDescent="0.25">
      <c r="A13" s="30"/>
      <c r="B13" s="31" t="s">
        <v>63</v>
      </c>
      <c r="C13" s="142"/>
      <c r="D13" s="143">
        <v>0</v>
      </c>
      <c r="E13" s="144">
        <v>1</v>
      </c>
      <c r="F13" s="145">
        <v>1</v>
      </c>
      <c r="G13" s="145">
        <v>1</v>
      </c>
      <c r="H13" s="145">
        <v>2</v>
      </c>
      <c r="I13" s="145">
        <v>2</v>
      </c>
      <c r="J13" s="145">
        <v>2</v>
      </c>
      <c r="K13" s="145">
        <v>2</v>
      </c>
      <c r="L13" s="145">
        <v>2</v>
      </c>
      <c r="M13" s="145">
        <v>2</v>
      </c>
      <c r="N13" s="145">
        <v>2</v>
      </c>
      <c r="O13" s="145">
        <v>2</v>
      </c>
      <c r="P13" s="146"/>
      <c r="R13" s="153"/>
      <c r="S13" s="153"/>
      <c r="T13" s="153"/>
      <c r="U13" s="153"/>
      <c r="V13" s="153"/>
      <c r="W13" s="153"/>
    </row>
    <row r="14" spans="1:29" ht="16" thickBot="1" x14ac:dyDescent="0.25">
      <c r="A14" s="30"/>
      <c r="B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  <c r="R14" s="153"/>
      <c r="S14" s="153"/>
      <c r="T14" s="153"/>
      <c r="U14" s="153"/>
      <c r="V14" s="153"/>
      <c r="W14" s="153"/>
    </row>
    <row r="15" spans="1:29" ht="24" customHeight="1" thickBot="1" x14ac:dyDescent="0.25">
      <c r="A15" s="1"/>
      <c r="B15" s="35" t="s">
        <v>18</v>
      </c>
      <c r="C15" s="36"/>
      <c r="D15" s="36"/>
      <c r="R15" s="153"/>
      <c r="S15" s="153"/>
      <c r="T15" s="153"/>
      <c r="U15" s="153"/>
      <c r="V15" s="153"/>
      <c r="W15" s="153"/>
    </row>
    <row r="16" spans="1:29" ht="16" thickBot="1" x14ac:dyDescent="0.25">
      <c r="A16" s="1"/>
      <c r="B16" s="37" t="s">
        <v>19</v>
      </c>
      <c r="C16" s="38" t="s">
        <v>20</v>
      </c>
      <c r="D16" s="4" t="s">
        <v>1</v>
      </c>
      <c r="E16" s="39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10</v>
      </c>
      <c r="N16" s="6" t="s">
        <v>11</v>
      </c>
      <c r="O16" s="6" t="s">
        <v>12</v>
      </c>
      <c r="P16" s="7" t="s">
        <v>13</v>
      </c>
      <c r="R16" s="153"/>
      <c r="S16" s="153"/>
      <c r="T16" s="153"/>
      <c r="U16" s="153"/>
      <c r="V16" s="153"/>
      <c r="W16" s="153"/>
    </row>
    <row r="17" spans="1:23" x14ac:dyDescent="0.2">
      <c r="A17" s="1"/>
      <c r="B17" s="40" t="s">
        <v>21</v>
      </c>
      <c r="C17" s="41" t="s">
        <v>22</v>
      </c>
      <c r="D17" s="42"/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R17" s="164" t="s">
        <v>89</v>
      </c>
      <c r="S17" s="164"/>
      <c r="T17" s="164"/>
      <c r="U17" s="164"/>
      <c r="V17" s="164"/>
      <c r="W17" s="164"/>
    </row>
    <row r="18" spans="1:23" x14ac:dyDescent="0.2">
      <c r="A18" s="1"/>
      <c r="B18" s="46" t="s">
        <v>64</v>
      </c>
      <c r="C18" s="47">
        <f>335*12*1.15</f>
        <v>4623</v>
      </c>
      <c r="D18" s="48"/>
      <c r="E18" s="49">
        <f t="shared" ref="E18:O18" si="4">(+$C$18)*(E$9)</f>
        <v>23115</v>
      </c>
      <c r="F18" s="50">
        <f t="shared" si="4"/>
        <v>50853</v>
      </c>
      <c r="G18" s="50">
        <f t="shared" si="4"/>
        <v>78591</v>
      </c>
      <c r="H18" s="50">
        <f t="shared" si="4"/>
        <v>115575</v>
      </c>
      <c r="I18" s="50">
        <f t="shared" si="4"/>
        <v>138690</v>
      </c>
      <c r="J18" s="50">
        <f t="shared" si="4"/>
        <v>152559</v>
      </c>
      <c r="K18" s="50">
        <f t="shared" si="4"/>
        <v>166428</v>
      </c>
      <c r="L18" s="50">
        <f t="shared" si="4"/>
        <v>166428</v>
      </c>
      <c r="M18" s="50">
        <f t="shared" si="4"/>
        <v>166428</v>
      </c>
      <c r="N18" s="50">
        <f t="shared" si="4"/>
        <v>166428</v>
      </c>
      <c r="O18" s="50">
        <f t="shared" si="4"/>
        <v>166428</v>
      </c>
      <c r="P18" s="51">
        <f>SUM(E18:O18)</f>
        <v>1391523</v>
      </c>
      <c r="R18" s="164"/>
      <c r="S18" s="164"/>
      <c r="T18" s="164"/>
      <c r="U18" s="164"/>
      <c r="V18" s="164"/>
      <c r="W18" s="164"/>
    </row>
    <row r="19" spans="1:23" x14ac:dyDescent="0.2">
      <c r="A19" s="1"/>
      <c r="B19" s="46" t="s">
        <v>65</v>
      </c>
      <c r="C19" s="47">
        <v>13000</v>
      </c>
      <c r="D19" s="147"/>
      <c r="E19" s="148">
        <f t="shared" ref="E19:O19" si="5">(+$C$19*E12)</f>
        <v>52000</v>
      </c>
      <c r="F19" s="149">
        <f t="shared" si="5"/>
        <v>117000</v>
      </c>
      <c r="G19" s="149">
        <f t="shared" si="5"/>
        <v>169000</v>
      </c>
      <c r="H19" s="149">
        <f t="shared" si="5"/>
        <v>247000</v>
      </c>
      <c r="I19" s="149">
        <f t="shared" si="5"/>
        <v>299000</v>
      </c>
      <c r="J19" s="149">
        <f t="shared" si="5"/>
        <v>325000</v>
      </c>
      <c r="K19" s="149">
        <f t="shared" si="5"/>
        <v>351000</v>
      </c>
      <c r="L19" s="149">
        <f t="shared" si="5"/>
        <v>351000</v>
      </c>
      <c r="M19" s="149">
        <f t="shared" si="5"/>
        <v>351000</v>
      </c>
      <c r="N19" s="149">
        <f t="shared" si="5"/>
        <v>351000</v>
      </c>
      <c r="O19" s="149">
        <f t="shared" si="5"/>
        <v>351000</v>
      </c>
      <c r="P19" s="52">
        <f>SUM(E19:O19)</f>
        <v>2964000</v>
      </c>
      <c r="R19" s="164"/>
      <c r="S19" s="164"/>
      <c r="T19" s="164"/>
      <c r="U19" s="164"/>
      <c r="V19" s="164"/>
      <c r="W19" s="164"/>
    </row>
    <row r="20" spans="1:23" x14ac:dyDescent="0.2">
      <c r="A20" s="1"/>
      <c r="B20" s="53" t="s">
        <v>23</v>
      </c>
      <c r="C20" s="47"/>
      <c r="D20" s="54">
        <f>SUM(D18:D19)</f>
        <v>0</v>
      </c>
      <c r="E20" s="55">
        <f>SUM(E18:E19)</f>
        <v>75115</v>
      </c>
      <c r="F20" s="56">
        <f t="shared" ref="F20:O20" si="6">SUM(F18:F19)</f>
        <v>167853</v>
      </c>
      <c r="G20" s="56">
        <f t="shared" si="6"/>
        <v>247591</v>
      </c>
      <c r="H20" s="56">
        <f t="shared" si="6"/>
        <v>362575</v>
      </c>
      <c r="I20" s="56">
        <f t="shared" si="6"/>
        <v>437690</v>
      </c>
      <c r="J20" s="56">
        <f t="shared" si="6"/>
        <v>477559</v>
      </c>
      <c r="K20" s="56">
        <f t="shared" si="6"/>
        <v>517428</v>
      </c>
      <c r="L20" s="56">
        <f t="shared" si="6"/>
        <v>517428</v>
      </c>
      <c r="M20" s="56">
        <f t="shared" si="6"/>
        <v>517428</v>
      </c>
      <c r="N20" s="56">
        <f t="shared" si="6"/>
        <v>517428</v>
      </c>
      <c r="O20" s="56">
        <f t="shared" si="6"/>
        <v>517428</v>
      </c>
      <c r="P20" s="57">
        <f>SUM(P18:P19)</f>
        <v>4355523</v>
      </c>
      <c r="R20" s="164"/>
      <c r="S20" s="164"/>
      <c r="T20" s="164"/>
      <c r="U20" s="164"/>
      <c r="V20" s="164"/>
      <c r="W20" s="164"/>
    </row>
    <row r="21" spans="1:23" x14ac:dyDescent="0.2">
      <c r="A21" s="1"/>
      <c r="B21" s="58"/>
      <c r="C21" s="59"/>
      <c r="D21" s="60"/>
      <c r="E21" s="61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57"/>
      <c r="R21" s="164"/>
      <c r="S21" s="164"/>
      <c r="T21" s="164"/>
      <c r="U21" s="164"/>
      <c r="V21" s="164"/>
      <c r="W21" s="164"/>
    </row>
    <row r="22" spans="1:23" x14ac:dyDescent="0.2">
      <c r="A22" s="1"/>
      <c r="B22" s="63" t="s">
        <v>24</v>
      </c>
      <c r="C22" s="59">
        <f>335*6</f>
        <v>2010</v>
      </c>
      <c r="D22" s="60"/>
      <c r="E22" s="64">
        <f t="shared" ref="E22:O22" si="7">(+$C$22)*(E$9)</f>
        <v>10050</v>
      </c>
      <c r="F22" s="65">
        <f t="shared" si="7"/>
        <v>22110</v>
      </c>
      <c r="G22" s="65">
        <f t="shared" si="7"/>
        <v>34170</v>
      </c>
      <c r="H22" s="65">
        <f t="shared" si="7"/>
        <v>50250</v>
      </c>
      <c r="I22" s="65">
        <f t="shared" si="7"/>
        <v>60300</v>
      </c>
      <c r="J22" s="65">
        <f t="shared" si="7"/>
        <v>66330</v>
      </c>
      <c r="K22" s="65">
        <f t="shared" si="7"/>
        <v>72360</v>
      </c>
      <c r="L22" s="65">
        <f t="shared" si="7"/>
        <v>72360</v>
      </c>
      <c r="M22" s="65">
        <f t="shared" si="7"/>
        <v>72360</v>
      </c>
      <c r="N22" s="65">
        <f t="shared" si="7"/>
        <v>72360</v>
      </c>
      <c r="O22" s="65">
        <f t="shared" si="7"/>
        <v>72360</v>
      </c>
      <c r="P22" s="51">
        <f t="shared" ref="P22:P23" si="8">SUM(E22:O22)</f>
        <v>605010</v>
      </c>
      <c r="R22" s="164"/>
      <c r="S22" s="164"/>
      <c r="T22" s="164"/>
      <c r="U22" s="164"/>
      <c r="V22" s="164"/>
      <c r="W22" s="164"/>
    </row>
    <row r="23" spans="1:23" x14ac:dyDescent="0.2">
      <c r="A23" s="1"/>
      <c r="B23" s="63" t="s">
        <v>25</v>
      </c>
      <c r="C23" s="66">
        <v>6500</v>
      </c>
      <c r="D23" s="67"/>
      <c r="E23" s="68">
        <f t="shared" ref="E23:O23" si="9">(+$C$23)*(E$9)</f>
        <v>32500</v>
      </c>
      <c r="F23" s="69">
        <f t="shared" si="9"/>
        <v>71500</v>
      </c>
      <c r="G23" s="69">
        <f t="shared" si="9"/>
        <v>110500</v>
      </c>
      <c r="H23" s="69">
        <f t="shared" si="9"/>
        <v>162500</v>
      </c>
      <c r="I23" s="69">
        <f t="shared" si="9"/>
        <v>195000</v>
      </c>
      <c r="J23" s="69">
        <f t="shared" si="9"/>
        <v>214500</v>
      </c>
      <c r="K23" s="69">
        <f t="shared" si="9"/>
        <v>234000</v>
      </c>
      <c r="L23" s="69">
        <f t="shared" si="9"/>
        <v>234000</v>
      </c>
      <c r="M23" s="69">
        <f t="shared" si="9"/>
        <v>234000</v>
      </c>
      <c r="N23" s="69">
        <f t="shared" si="9"/>
        <v>234000</v>
      </c>
      <c r="O23" s="69">
        <f t="shared" si="9"/>
        <v>234000</v>
      </c>
      <c r="P23" s="52">
        <f t="shared" si="8"/>
        <v>1956500</v>
      </c>
      <c r="R23" s="164"/>
      <c r="S23" s="164"/>
      <c r="T23" s="164"/>
      <c r="U23" s="164"/>
      <c r="V23" s="164"/>
      <c r="W23" s="164"/>
    </row>
    <row r="24" spans="1:23" x14ac:dyDescent="0.2">
      <c r="B24" s="70" t="s">
        <v>26</v>
      </c>
      <c r="C24" s="61"/>
      <c r="D24" s="71">
        <f>SUM(D22:D23)</f>
        <v>0</v>
      </c>
      <c r="E24" s="61">
        <f>SUM(E22:E23)</f>
        <v>42550</v>
      </c>
      <c r="F24" s="62">
        <f t="shared" ref="F24:O24" si="10">SUM(F22:F23)</f>
        <v>93610</v>
      </c>
      <c r="G24" s="62">
        <f t="shared" si="10"/>
        <v>144670</v>
      </c>
      <c r="H24" s="62">
        <f t="shared" si="10"/>
        <v>212750</v>
      </c>
      <c r="I24" s="62">
        <f t="shared" si="10"/>
        <v>255300</v>
      </c>
      <c r="J24" s="62">
        <f t="shared" si="10"/>
        <v>280830</v>
      </c>
      <c r="K24" s="62">
        <f t="shared" si="10"/>
        <v>306360</v>
      </c>
      <c r="L24" s="62">
        <f t="shared" si="10"/>
        <v>306360</v>
      </c>
      <c r="M24" s="62">
        <f t="shared" si="10"/>
        <v>306360</v>
      </c>
      <c r="N24" s="62">
        <f t="shared" si="10"/>
        <v>306360</v>
      </c>
      <c r="O24" s="62">
        <f t="shared" si="10"/>
        <v>306360</v>
      </c>
      <c r="P24" s="72">
        <f>SUM(E24:O24)</f>
        <v>2561510</v>
      </c>
    </row>
    <row r="25" spans="1:23" ht="16" thickBot="1" x14ac:dyDescent="0.25">
      <c r="A25" s="30"/>
      <c r="B25" s="70"/>
      <c r="C25" s="61"/>
      <c r="D25" s="71"/>
      <c r="E25" s="61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72"/>
      <c r="R25" s="153"/>
      <c r="S25" s="153"/>
      <c r="T25" s="153"/>
      <c r="U25" s="153"/>
      <c r="V25" s="153"/>
      <c r="W25" s="153"/>
    </row>
    <row r="26" spans="1:23" x14ac:dyDescent="0.2">
      <c r="A26" s="30"/>
      <c r="B26" s="73" t="s">
        <v>27</v>
      </c>
      <c r="C26" s="74">
        <f>SUM(C18:C23)</f>
        <v>26133</v>
      </c>
      <c r="D26" s="75"/>
      <c r="E26" s="76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57"/>
      <c r="R26" s="153"/>
      <c r="S26" s="153"/>
      <c r="T26" s="153"/>
      <c r="U26" s="153"/>
      <c r="V26" s="153"/>
      <c r="W26" s="153"/>
    </row>
    <row r="27" spans="1:23" ht="16" thickBot="1" x14ac:dyDescent="0.25">
      <c r="A27" s="1"/>
      <c r="B27" s="31" t="s">
        <v>28</v>
      </c>
      <c r="C27" s="77">
        <f>335*30*1.15+C19</f>
        <v>24557.5</v>
      </c>
      <c r="D27" s="60"/>
      <c r="E27" s="76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57"/>
      <c r="R27" s="153"/>
      <c r="S27" s="153"/>
      <c r="T27" s="153"/>
      <c r="U27" s="153"/>
      <c r="V27" s="153"/>
      <c r="W27" s="153"/>
    </row>
    <row r="28" spans="1:23" x14ac:dyDescent="0.2">
      <c r="A28" s="1"/>
      <c r="B28" s="78"/>
      <c r="C28" s="79"/>
      <c r="D28" s="80"/>
      <c r="E28" s="61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57"/>
      <c r="R28" s="153"/>
      <c r="S28" s="153"/>
      <c r="T28" s="153"/>
      <c r="U28" s="153"/>
      <c r="V28" s="153"/>
      <c r="W28" s="153"/>
    </row>
    <row r="29" spans="1:23" x14ac:dyDescent="0.2">
      <c r="A29" s="1"/>
      <c r="B29" s="81" t="s">
        <v>29</v>
      </c>
      <c r="C29" s="82"/>
      <c r="D29" s="83"/>
      <c r="E29" s="84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85"/>
      <c r="R29" s="153"/>
      <c r="S29" s="153"/>
      <c r="T29" s="153"/>
      <c r="U29" s="153"/>
      <c r="V29" s="153"/>
      <c r="W29" s="153"/>
    </row>
    <row r="30" spans="1:23" ht="15" customHeight="1" x14ac:dyDescent="0.2">
      <c r="A30" s="1"/>
      <c r="B30" s="8" t="s">
        <v>30</v>
      </c>
      <c r="C30" s="82"/>
      <c r="D30" s="86">
        <v>65000</v>
      </c>
      <c r="E30" s="87">
        <v>125000</v>
      </c>
      <c r="F30" s="88">
        <v>180000</v>
      </c>
      <c r="G30" s="88">
        <v>115000</v>
      </c>
      <c r="H30" s="88">
        <v>30000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51">
        <f>SUM(D30:O30)</f>
        <v>515000</v>
      </c>
      <c r="R30" s="164" t="s">
        <v>81</v>
      </c>
      <c r="S30" s="164"/>
      <c r="T30" s="164"/>
      <c r="U30" s="164"/>
      <c r="V30" s="164"/>
      <c r="W30" s="164"/>
    </row>
    <row r="31" spans="1:23" x14ac:dyDescent="0.2">
      <c r="A31" s="30"/>
      <c r="B31" s="8" t="s">
        <v>82</v>
      </c>
      <c r="C31" s="82">
        <f>3000*2</f>
        <v>6000</v>
      </c>
      <c r="D31" s="89"/>
      <c r="E31" s="90">
        <f t="shared" ref="E31:O31" si="11">($C$31*E9)*0.75</f>
        <v>22500</v>
      </c>
      <c r="F31" s="91">
        <f t="shared" si="11"/>
        <v>49500</v>
      </c>
      <c r="G31" s="91">
        <f t="shared" si="11"/>
        <v>76500</v>
      </c>
      <c r="H31" s="91">
        <f t="shared" si="11"/>
        <v>112500</v>
      </c>
      <c r="I31" s="91">
        <f t="shared" si="11"/>
        <v>135000</v>
      </c>
      <c r="J31" s="91">
        <f t="shared" si="11"/>
        <v>148500</v>
      </c>
      <c r="K31" s="91">
        <f t="shared" si="11"/>
        <v>162000</v>
      </c>
      <c r="L31" s="91">
        <f t="shared" si="11"/>
        <v>162000</v>
      </c>
      <c r="M31" s="91">
        <f t="shared" si="11"/>
        <v>162000</v>
      </c>
      <c r="N31" s="91">
        <f t="shared" si="11"/>
        <v>162000</v>
      </c>
      <c r="O31" s="91">
        <f t="shared" si="11"/>
        <v>162000</v>
      </c>
      <c r="P31" s="52">
        <f>SUM(D31:O31)</f>
        <v>1354500</v>
      </c>
      <c r="R31" s="164"/>
      <c r="S31" s="164"/>
      <c r="T31" s="164"/>
      <c r="U31" s="164"/>
      <c r="V31" s="164"/>
      <c r="W31" s="164"/>
    </row>
    <row r="32" spans="1:23" x14ac:dyDescent="0.2">
      <c r="A32" s="1"/>
      <c r="B32" s="70" t="s">
        <v>31</v>
      </c>
      <c r="C32" s="82"/>
      <c r="D32" s="92">
        <f t="shared" ref="D32:O32" si="12">SUM(D30:D31)</f>
        <v>65000</v>
      </c>
      <c r="E32" s="93">
        <f t="shared" si="12"/>
        <v>147500</v>
      </c>
      <c r="F32" s="94">
        <f t="shared" si="12"/>
        <v>229500</v>
      </c>
      <c r="G32" s="94">
        <f t="shared" si="12"/>
        <v>191500</v>
      </c>
      <c r="H32" s="94">
        <f t="shared" si="12"/>
        <v>142500</v>
      </c>
      <c r="I32" s="94">
        <f t="shared" si="12"/>
        <v>135000</v>
      </c>
      <c r="J32" s="94">
        <f t="shared" si="12"/>
        <v>148500</v>
      </c>
      <c r="K32" s="94">
        <f t="shared" si="12"/>
        <v>162000</v>
      </c>
      <c r="L32" s="94">
        <f t="shared" si="12"/>
        <v>162000</v>
      </c>
      <c r="M32" s="94">
        <f t="shared" si="12"/>
        <v>162000</v>
      </c>
      <c r="N32" s="94">
        <f t="shared" si="12"/>
        <v>162000</v>
      </c>
      <c r="O32" s="94">
        <f t="shared" si="12"/>
        <v>162000</v>
      </c>
      <c r="P32" s="95">
        <f>SUM(D32:O32)</f>
        <v>1869500</v>
      </c>
      <c r="R32" s="153"/>
      <c r="S32" s="153"/>
      <c r="T32" s="153"/>
      <c r="U32" s="153"/>
      <c r="V32" s="153"/>
      <c r="W32" s="153"/>
    </row>
    <row r="33" spans="1:23" x14ac:dyDescent="0.2">
      <c r="A33" s="1"/>
      <c r="B33" s="8"/>
      <c r="C33" s="82"/>
      <c r="D33" s="89"/>
      <c r="E33" s="96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72"/>
      <c r="R33" s="153"/>
      <c r="S33" s="153"/>
      <c r="T33" s="153"/>
      <c r="U33" s="153"/>
      <c r="V33" s="153"/>
      <c r="W33" s="153"/>
    </row>
    <row r="34" spans="1:23" x14ac:dyDescent="0.2">
      <c r="A34" s="1"/>
      <c r="B34" s="98" t="s">
        <v>32</v>
      </c>
      <c r="C34" s="93"/>
      <c r="D34" s="99">
        <f t="shared" ref="D34:P34" si="13">+D24+D32</f>
        <v>65000</v>
      </c>
      <c r="E34" s="100">
        <f t="shared" si="13"/>
        <v>190050</v>
      </c>
      <c r="F34" s="101">
        <f t="shared" si="13"/>
        <v>323110</v>
      </c>
      <c r="G34" s="101">
        <f t="shared" si="13"/>
        <v>336170</v>
      </c>
      <c r="H34" s="101">
        <f t="shared" si="13"/>
        <v>355250</v>
      </c>
      <c r="I34" s="101">
        <f t="shared" si="13"/>
        <v>390300</v>
      </c>
      <c r="J34" s="101">
        <f t="shared" si="13"/>
        <v>429330</v>
      </c>
      <c r="K34" s="101">
        <f t="shared" si="13"/>
        <v>468360</v>
      </c>
      <c r="L34" s="101">
        <f t="shared" si="13"/>
        <v>468360</v>
      </c>
      <c r="M34" s="101">
        <f t="shared" si="13"/>
        <v>468360</v>
      </c>
      <c r="N34" s="101">
        <f t="shared" si="13"/>
        <v>468360</v>
      </c>
      <c r="O34" s="101">
        <f t="shared" si="13"/>
        <v>468360</v>
      </c>
      <c r="P34" s="102">
        <f t="shared" si="13"/>
        <v>4431010</v>
      </c>
      <c r="R34" s="153"/>
      <c r="S34" s="153"/>
      <c r="T34" s="153"/>
      <c r="U34" s="153"/>
      <c r="V34" s="153"/>
      <c r="W34" s="153"/>
    </row>
    <row r="35" spans="1:23" x14ac:dyDescent="0.2">
      <c r="A35" s="1"/>
      <c r="B35" s="103" t="s">
        <v>33</v>
      </c>
      <c r="C35" s="96"/>
      <c r="D35" s="86"/>
      <c r="E35" s="96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85"/>
      <c r="R35" s="153"/>
      <c r="S35" s="153"/>
      <c r="T35" s="153"/>
      <c r="U35" s="153"/>
      <c r="V35" s="153"/>
      <c r="W35" s="153"/>
    </row>
    <row r="36" spans="1:23" x14ac:dyDescent="0.2">
      <c r="A36" s="104"/>
      <c r="B36" s="105" t="s">
        <v>34</v>
      </c>
      <c r="C36" s="96"/>
      <c r="D36" s="86"/>
      <c r="E36" s="96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85"/>
      <c r="R36" s="164" t="s">
        <v>90</v>
      </c>
      <c r="S36" s="164"/>
      <c r="T36" s="164"/>
      <c r="U36" s="164"/>
      <c r="V36" s="164"/>
      <c r="W36" s="164"/>
    </row>
    <row r="37" spans="1:23" x14ac:dyDescent="0.2">
      <c r="A37" s="30"/>
      <c r="B37" s="106" t="s">
        <v>35</v>
      </c>
      <c r="C37" s="107" t="s">
        <v>36</v>
      </c>
      <c r="D37" s="108"/>
      <c r="E37" s="96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72"/>
      <c r="R37" s="164"/>
      <c r="S37" s="164"/>
      <c r="T37" s="164"/>
      <c r="U37" s="164"/>
      <c r="V37" s="164"/>
      <c r="W37" s="164"/>
    </row>
    <row r="38" spans="1:23" x14ac:dyDescent="0.2">
      <c r="A38" s="1"/>
      <c r="B38" s="63" t="s">
        <v>66</v>
      </c>
      <c r="C38" s="59">
        <v>83850</v>
      </c>
      <c r="D38" s="60">
        <f>+C38*0.5</f>
        <v>41925</v>
      </c>
      <c r="E38" s="96">
        <f>+C38</f>
        <v>83850</v>
      </c>
      <c r="F38" s="97">
        <f t="shared" ref="F38:O41" si="14">+E38</f>
        <v>83850</v>
      </c>
      <c r="G38" s="97">
        <f t="shared" si="14"/>
        <v>83850</v>
      </c>
      <c r="H38" s="97">
        <f t="shared" si="14"/>
        <v>83850</v>
      </c>
      <c r="I38" s="97">
        <f t="shared" si="14"/>
        <v>83850</v>
      </c>
      <c r="J38" s="97">
        <f t="shared" si="14"/>
        <v>83850</v>
      </c>
      <c r="K38" s="97">
        <f t="shared" si="14"/>
        <v>83850</v>
      </c>
      <c r="L38" s="97">
        <f t="shared" si="14"/>
        <v>83850</v>
      </c>
      <c r="M38" s="97">
        <f t="shared" si="14"/>
        <v>83850</v>
      </c>
      <c r="N38" s="97">
        <f t="shared" si="14"/>
        <v>83850</v>
      </c>
      <c r="O38" s="97">
        <f t="shared" si="14"/>
        <v>83850</v>
      </c>
      <c r="P38" s="72">
        <f>SUM(E38:O38)</f>
        <v>922350</v>
      </c>
      <c r="R38" s="164"/>
      <c r="S38" s="164"/>
      <c r="T38" s="164"/>
      <c r="U38" s="164"/>
      <c r="V38" s="164"/>
      <c r="W38" s="164"/>
    </row>
    <row r="39" spans="1:23" x14ac:dyDescent="0.2">
      <c r="A39" s="30"/>
      <c r="B39" s="109" t="s">
        <v>67</v>
      </c>
      <c r="C39" s="59">
        <v>64500</v>
      </c>
      <c r="D39" s="60"/>
      <c r="E39" s="96">
        <f>+C39</f>
        <v>64500</v>
      </c>
      <c r="F39" s="97">
        <f t="shared" si="14"/>
        <v>64500</v>
      </c>
      <c r="G39" s="97">
        <f t="shared" si="14"/>
        <v>64500</v>
      </c>
      <c r="H39" s="97">
        <f t="shared" si="14"/>
        <v>64500</v>
      </c>
      <c r="I39" s="97">
        <f t="shared" si="14"/>
        <v>64500</v>
      </c>
      <c r="J39" s="97">
        <f t="shared" si="14"/>
        <v>64500</v>
      </c>
      <c r="K39" s="97">
        <f t="shared" si="14"/>
        <v>64500</v>
      </c>
      <c r="L39" s="97">
        <f t="shared" si="14"/>
        <v>64500</v>
      </c>
      <c r="M39" s="97">
        <f t="shared" si="14"/>
        <v>64500</v>
      </c>
      <c r="N39" s="97">
        <f t="shared" si="14"/>
        <v>64500</v>
      </c>
      <c r="O39" s="97">
        <f t="shared" si="14"/>
        <v>64500</v>
      </c>
      <c r="P39" s="72">
        <f>SUM(E39:O39)</f>
        <v>709500</v>
      </c>
      <c r="R39" s="164"/>
      <c r="S39" s="164"/>
      <c r="T39" s="164"/>
      <c r="U39" s="164"/>
      <c r="V39" s="164"/>
      <c r="W39" s="164"/>
    </row>
    <row r="40" spans="1:23" x14ac:dyDescent="0.2">
      <c r="A40" s="30"/>
      <c r="B40" s="109" t="s">
        <v>68</v>
      </c>
      <c r="C40" s="59">
        <v>64500</v>
      </c>
      <c r="D40" s="60"/>
      <c r="E40" s="96"/>
      <c r="F40" s="97">
        <f>+C40</f>
        <v>64500</v>
      </c>
      <c r="G40" s="97">
        <f t="shared" si="14"/>
        <v>64500</v>
      </c>
      <c r="H40" s="97">
        <f t="shared" ref="H40:O40" si="15">+F40</f>
        <v>64500</v>
      </c>
      <c r="I40" s="97">
        <f t="shared" si="15"/>
        <v>64500</v>
      </c>
      <c r="J40" s="97">
        <f t="shared" si="15"/>
        <v>64500</v>
      </c>
      <c r="K40" s="97">
        <f t="shared" si="15"/>
        <v>64500</v>
      </c>
      <c r="L40" s="97">
        <f t="shared" si="15"/>
        <v>64500</v>
      </c>
      <c r="M40" s="97">
        <f t="shared" si="15"/>
        <v>64500</v>
      </c>
      <c r="N40" s="97">
        <f t="shared" si="15"/>
        <v>64500</v>
      </c>
      <c r="O40" s="97">
        <f t="shared" si="15"/>
        <v>64500</v>
      </c>
      <c r="P40" s="72">
        <f>SUM(E40:O40)</f>
        <v>645000</v>
      </c>
      <c r="R40" s="164"/>
      <c r="S40" s="164"/>
      <c r="T40" s="164"/>
      <c r="U40" s="164"/>
      <c r="V40" s="164"/>
      <c r="W40" s="164"/>
    </row>
    <row r="41" spans="1:23" x14ac:dyDescent="0.2">
      <c r="A41" s="30"/>
      <c r="B41" s="109" t="s">
        <v>37</v>
      </c>
      <c r="C41" s="59">
        <v>64500</v>
      </c>
      <c r="D41" s="60"/>
      <c r="E41" s="96"/>
      <c r="F41" s="97">
        <f>C41</f>
        <v>64500</v>
      </c>
      <c r="G41" s="97">
        <f t="shared" si="14"/>
        <v>64500</v>
      </c>
      <c r="H41" s="97">
        <f t="shared" ref="H41:O41" si="16">F41</f>
        <v>64500</v>
      </c>
      <c r="I41" s="97">
        <f t="shared" si="16"/>
        <v>64500</v>
      </c>
      <c r="J41" s="97">
        <f t="shared" si="16"/>
        <v>64500</v>
      </c>
      <c r="K41" s="97">
        <f t="shared" si="16"/>
        <v>64500</v>
      </c>
      <c r="L41" s="97">
        <f t="shared" si="16"/>
        <v>64500</v>
      </c>
      <c r="M41" s="97">
        <f t="shared" si="16"/>
        <v>64500</v>
      </c>
      <c r="N41" s="97">
        <f t="shared" si="16"/>
        <v>64500</v>
      </c>
      <c r="O41" s="97">
        <f t="shared" si="16"/>
        <v>64500</v>
      </c>
      <c r="P41" s="72">
        <f t="shared" ref="P41:P49" si="17">SUM(E41:O41)</f>
        <v>645000</v>
      </c>
      <c r="R41" s="164"/>
      <c r="S41" s="164"/>
      <c r="T41" s="164"/>
      <c r="U41" s="164"/>
      <c r="V41" s="164"/>
      <c r="W41" s="164"/>
    </row>
    <row r="42" spans="1:23" x14ac:dyDescent="0.2">
      <c r="A42" s="30"/>
      <c r="B42" s="109" t="s">
        <v>37</v>
      </c>
      <c r="C42" s="59">
        <v>64500</v>
      </c>
      <c r="D42" s="60"/>
      <c r="E42" s="96"/>
      <c r="F42" s="97"/>
      <c r="G42" s="97"/>
      <c r="H42" s="97"/>
      <c r="I42" s="97">
        <f>+I41*0.5</f>
        <v>32250</v>
      </c>
      <c r="J42" s="97">
        <f>+J41*0.5</f>
        <v>32250</v>
      </c>
      <c r="K42" s="97">
        <f>+K41</f>
        <v>64500</v>
      </c>
      <c r="L42" s="97">
        <f t="shared" ref="L42:O43" si="18">+K42</f>
        <v>64500</v>
      </c>
      <c r="M42" s="97">
        <f t="shared" si="18"/>
        <v>64500</v>
      </c>
      <c r="N42" s="97">
        <f t="shared" si="18"/>
        <v>64500</v>
      </c>
      <c r="O42" s="97">
        <f t="shared" si="18"/>
        <v>64500</v>
      </c>
      <c r="P42" s="72">
        <f t="shared" ref="P42" si="19">SUM(E42:O42)</f>
        <v>387000</v>
      </c>
      <c r="R42" s="164"/>
      <c r="S42" s="164"/>
      <c r="T42" s="164"/>
      <c r="U42" s="164"/>
      <c r="V42" s="164"/>
      <c r="W42" s="164"/>
    </row>
    <row r="43" spans="1:23" x14ac:dyDescent="0.2">
      <c r="A43" s="30"/>
      <c r="B43" s="109" t="s">
        <v>37</v>
      </c>
      <c r="C43" s="59">
        <v>64500</v>
      </c>
      <c r="D43" s="60"/>
      <c r="E43" s="96"/>
      <c r="F43" s="97"/>
      <c r="G43" s="97"/>
      <c r="H43" s="97"/>
      <c r="I43" s="97"/>
      <c r="J43" s="97"/>
      <c r="K43" s="97">
        <f>+C43*0.5</f>
        <v>32250</v>
      </c>
      <c r="L43" s="97">
        <f t="shared" si="18"/>
        <v>32250</v>
      </c>
      <c r="M43" s="97">
        <f t="shared" si="18"/>
        <v>32250</v>
      </c>
      <c r="N43" s="97">
        <f t="shared" si="18"/>
        <v>32250</v>
      </c>
      <c r="O43" s="97">
        <f t="shared" si="18"/>
        <v>32250</v>
      </c>
      <c r="P43" s="72"/>
      <c r="R43" s="164"/>
      <c r="S43" s="164"/>
      <c r="T43" s="164"/>
      <c r="U43" s="164"/>
      <c r="V43" s="164"/>
      <c r="W43" s="164"/>
    </row>
    <row r="44" spans="1:23" x14ac:dyDescent="0.2">
      <c r="B44" s="109"/>
      <c r="C44" s="59"/>
      <c r="D44" s="60"/>
      <c r="E44" s="96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72"/>
      <c r="R44" s="154"/>
      <c r="S44" s="154"/>
      <c r="T44" s="154"/>
      <c r="U44" s="154"/>
      <c r="V44" s="154"/>
      <c r="W44" s="154"/>
    </row>
    <row r="45" spans="1:23" x14ac:dyDescent="0.2">
      <c r="B45" s="110" t="s">
        <v>38</v>
      </c>
      <c r="C45" s="59"/>
      <c r="D45" s="60"/>
      <c r="E45" s="96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72"/>
      <c r="R45" s="154"/>
      <c r="S45" s="154"/>
      <c r="T45" s="154"/>
      <c r="U45" s="154"/>
      <c r="V45" s="154"/>
      <c r="W45" s="154"/>
    </row>
    <row r="46" spans="1:23" x14ac:dyDescent="0.2">
      <c r="B46" s="109" t="s">
        <v>39</v>
      </c>
      <c r="C46" s="59">
        <f>10*14*32</f>
        <v>4480</v>
      </c>
      <c r="D46" s="60"/>
      <c r="E46" s="96">
        <f t="shared" ref="E46:O46" si="20">+$C$46*E$9</f>
        <v>22400</v>
      </c>
      <c r="F46" s="97">
        <f t="shared" si="20"/>
        <v>49280</v>
      </c>
      <c r="G46" s="97">
        <f t="shared" si="20"/>
        <v>76160</v>
      </c>
      <c r="H46" s="97">
        <f t="shared" si="20"/>
        <v>112000</v>
      </c>
      <c r="I46" s="97">
        <f t="shared" si="20"/>
        <v>134400</v>
      </c>
      <c r="J46" s="97">
        <f t="shared" si="20"/>
        <v>147840</v>
      </c>
      <c r="K46" s="97">
        <f t="shared" si="20"/>
        <v>161280</v>
      </c>
      <c r="L46" s="97">
        <f t="shared" si="20"/>
        <v>161280</v>
      </c>
      <c r="M46" s="97">
        <f t="shared" si="20"/>
        <v>161280</v>
      </c>
      <c r="N46" s="97">
        <f t="shared" si="20"/>
        <v>161280</v>
      </c>
      <c r="O46" s="97">
        <f t="shared" si="20"/>
        <v>161280</v>
      </c>
      <c r="P46" s="72">
        <f t="shared" si="17"/>
        <v>1348480</v>
      </c>
      <c r="R46" s="164" t="s">
        <v>91</v>
      </c>
      <c r="S46" s="164"/>
      <c r="T46" s="164"/>
      <c r="U46" s="164"/>
      <c r="V46" s="164"/>
      <c r="W46" s="164"/>
    </row>
    <row r="47" spans="1:23" x14ac:dyDescent="0.2">
      <c r="B47" s="109" t="s">
        <v>69</v>
      </c>
      <c r="C47" s="59"/>
      <c r="D47" s="60"/>
      <c r="E47" s="96">
        <f t="shared" ref="E47:O47" si="21">-(E46*0.75)</f>
        <v>-16800</v>
      </c>
      <c r="F47" s="97">
        <f t="shared" si="21"/>
        <v>-36960</v>
      </c>
      <c r="G47" s="97">
        <f t="shared" si="21"/>
        <v>-57120</v>
      </c>
      <c r="H47" s="97">
        <f t="shared" si="21"/>
        <v>-84000</v>
      </c>
      <c r="I47" s="97">
        <f t="shared" si="21"/>
        <v>-100800</v>
      </c>
      <c r="J47" s="97">
        <f t="shared" si="21"/>
        <v>-110880</v>
      </c>
      <c r="K47" s="97">
        <f t="shared" si="21"/>
        <v>-120960</v>
      </c>
      <c r="L47" s="97">
        <f t="shared" si="21"/>
        <v>-120960</v>
      </c>
      <c r="M47" s="97">
        <f t="shared" si="21"/>
        <v>-120960</v>
      </c>
      <c r="N47" s="97">
        <f t="shared" si="21"/>
        <v>-120960</v>
      </c>
      <c r="O47" s="97">
        <f t="shared" si="21"/>
        <v>-120960</v>
      </c>
      <c r="P47" s="72">
        <f t="shared" si="17"/>
        <v>-1011360</v>
      </c>
      <c r="R47" s="164"/>
      <c r="S47" s="164"/>
      <c r="T47" s="164"/>
      <c r="U47" s="164"/>
      <c r="V47" s="164"/>
      <c r="W47" s="164"/>
    </row>
    <row r="48" spans="1:23" x14ac:dyDescent="0.2">
      <c r="B48" s="63" t="s">
        <v>70</v>
      </c>
      <c r="C48" s="59">
        <v>13000</v>
      </c>
      <c r="D48" s="67"/>
      <c r="E48" s="111">
        <f t="shared" ref="E48:O48" si="22">+$C$48*E$13</f>
        <v>13000</v>
      </c>
      <c r="F48" s="112">
        <f t="shared" si="22"/>
        <v>13000</v>
      </c>
      <c r="G48" s="112">
        <f t="shared" si="22"/>
        <v>13000</v>
      </c>
      <c r="H48" s="112">
        <f t="shared" si="22"/>
        <v>26000</v>
      </c>
      <c r="I48" s="112">
        <f t="shared" si="22"/>
        <v>26000</v>
      </c>
      <c r="J48" s="112">
        <f t="shared" si="22"/>
        <v>26000</v>
      </c>
      <c r="K48" s="112">
        <f t="shared" si="22"/>
        <v>26000</v>
      </c>
      <c r="L48" s="112">
        <f t="shared" si="22"/>
        <v>26000</v>
      </c>
      <c r="M48" s="112">
        <f t="shared" si="22"/>
        <v>26000</v>
      </c>
      <c r="N48" s="112">
        <f t="shared" si="22"/>
        <v>26000</v>
      </c>
      <c r="O48" s="112">
        <f t="shared" si="22"/>
        <v>26000</v>
      </c>
      <c r="P48" s="113">
        <f t="shared" si="17"/>
        <v>247000</v>
      </c>
      <c r="R48" s="164"/>
      <c r="S48" s="164"/>
      <c r="T48" s="164"/>
      <c r="U48" s="164"/>
      <c r="V48" s="164"/>
      <c r="W48" s="164"/>
    </row>
    <row r="49" spans="1:23" x14ac:dyDescent="0.2">
      <c r="B49" s="114" t="s">
        <v>40</v>
      </c>
      <c r="C49" s="115"/>
      <c r="D49" s="116">
        <f t="shared" ref="D49:J49" si="23">SUM(D37:D48)</f>
        <v>41925</v>
      </c>
      <c r="E49" s="117">
        <f t="shared" si="23"/>
        <v>166950</v>
      </c>
      <c r="F49" s="118">
        <f t="shared" si="23"/>
        <v>302670</v>
      </c>
      <c r="G49" s="118">
        <f t="shared" si="23"/>
        <v>309390</v>
      </c>
      <c r="H49" s="118">
        <f t="shared" si="23"/>
        <v>331350</v>
      </c>
      <c r="I49" s="118">
        <f t="shared" si="23"/>
        <v>369200</v>
      </c>
      <c r="J49" s="118">
        <f t="shared" si="23"/>
        <v>372560</v>
      </c>
      <c r="K49" s="118">
        <f t="shared" ref="K49:O49" si="24">SUM(K37:K48)</f>
        <v>440420</v>
      </c>
      <c r="L49" s="118">
        <f t="shared" si="24"/>
        <v>440420</v>
      </c>
      <c r="M49" s="118">
        <f t="shared" si="24"/>
        <v>440420</v>
      </c>
      <c r="N49" s="118">
        <f t="shared" si="24"/>
        <v>440420</v>
      </c>
      <c r="O49" s="118">
        <f t="shared" si="24"/>
        <v>440420</v>
      </c>
      <c r="P49" s="72">
        <f t="shared" si="17"/>
        <v>4054220</v>
      </c>
      <c r="R49" s="164"/>
      <c r="S49" s="164"/>
      <c r="T49" s="164"/>
      <c r="U49" s="164"/>
      <c r="V49" s="164"/>
      <c r="W49" s="164"/>
    </row>
    <row r="50" spans="1:23" x14ac:dyDescent="0.2">
      <c r="B50" s="114"/>
      <c r="C50" s="115"/>
      <c r="D50" s="119"/>
      <c r="E50" s="115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1"/>
      <c r="R50" s="164"/>
      <c r="S50" s="164"/>
      <c r="T50" s="164"/>
      <c r="U50" s="164"/>
      <c r="V50" s="164"/>
      <c r="W50" s="164"/>
    </row>
    <row r="51" spans="1:23" x14ac:dyDescent="0.2">
      <c r="B51" s="105" t="s">
        <v>41</v>
      </c>
      <c r="C51" s="115"/>
      <c r="D51" s="119"/>
      <c r="E51" s="115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72"/>
      <c r="R51" s="153"/>
      <c r="S51" s="153"/>
      <c r="T51" s="153"/>
      <c r="U51" s="153"/>
      <c r="V51" s="153"/>
      <c r="W51" s="153"/>
    </row>
    <row r="52" spans="1:23" x14ac:dyDescent="0.2">
      <c r="B52" s="8" t="s">
        <v>42</v>
      </c>
      <c r="C52" s="96"/>
      <c r="D52" s="86">
        <v>2000</v>
      </c>
      <c r="E52" s="96">
        <v>2000</v>
      </c>
      <c r="F52" s="97">
        <v>2000</v>
      </c>
      <c r="G52" s="97">
        <v>2000</v>
      </c>
      <c r="H52" s="97">
        <v>2000</v>
      </c>
      <c r="I52" s="97">
        <v>2000</v>
      </c>
      <c r="J52" s="97">
        <v>2000</v>
      </c>
      <c r="K52" s="97">
        <v>2000</v>
      </c>
      <c r="L52" s="97">
        <v>2000</v>
      </c>
      <c r="M52" s="97">
        <v>2000</v>
      </c>
      <c r="N52" s="97">
        <v>2000</v>
      </c>
      <c r="O52" s="97">
        <v>2000</v>
      </c>
      <c r="P52" s="72">
        <f>SUM(D52:O52)</f>
        <v>24000</v>
      </c>
      <c r="R52" s="164" t="s">
        <v>86</v>
      </c>
      <c r="S52" s="164"/>
      <c r="T52" s="164"/>
      <c r="U52" s="164"/>
      <c r="V52" s="164"/>
      <c r="W52" s="164"/>
    </row>
    <row r="53" spans="1:23" ht="15" customHeight="1" x14ac:dyDescent="0.2">
      <c r="B53" s="8" t="s">
        <v>43</v>
      </c>
      <c r="C53" s="96"/>
      <c r="D53" s="86">
        <v>2000</v>
      </c>
      <c r="E53" s="96">
        <v>3000</v>
      </c>
      <c r="F53" s="97">
        <v>2500</v>
      </c>
      <c r="G53" s="97">
        <v>2500</v>
      </c>
      <c r="H53" s="97">
        <v>1500</v>
      </c>
      <c r="I53" s="97">
        <v>1500</v>
      </c>
      <c r="J53" s="97">
        <v>1500</v>
      </c>
      <c r="K53" s="97">
        <v>1500</v>
      </c>
      <c r="L53" s="97">
        <v>1500</v>
      </c>
      <c r="M53" s="97">
        <v>1500</v>
      </c>
      <c r="N53" s="97">
        <v>1500</v>
      </c>
      <c r="O53" s="97">
        <v>1500</v>
      </c>
      <c r="P53" s="72">
        <f t="shared" ref="P53:P58" si="25">SUM(D53:O53)</f>
        <v>22000</v>
      </c>
      <c r="R53" s="164"/>
      <c r="S53" s="164"/>
      <c r="T53" s="164"/>
      <c r="U53" s="164"/>
      <c r="V53" s="164"/>
      <c r="W53" s="164"/>
    </row>
    <row r="54" spans="1:23" x14ac:dyDescent="0.2">
      <c r="B54" s="8" t="s">
        <v>44</v>
      </c>
      <c r="C54" s="96"/>
      <c r="D54" s="86"/>
      <c r="E54" s="96"/>
      <c r="F54" s="97"/>
      <c r="G54" s="97"/>
      <c r="H54" s="97"/>
      <c r="I54" s="97">
        <v>10000</v>
      </c>
      <c r="J54" s="97">
        <v>10000</v>
      </c>
      <c r="K54" s="97">
        <v>10000</v>
      </c>
      <c r="L54" s="97">
        <v>10000</v>
      </c>
      <c r="M54" s="97">
        <v>10000</v>
      </c>
      <c r="N54" s="97">
        <v>10000</v>
      </c>
      <c r="O54" s="97">
        <v>10000</v>
      </c>
      <c r="P54" s="72">
        <f t="shared" si="25"/>
        <v>70000</v>
      </c>
      <c r="R54" s="164"/>
      <c r="S54" s="164"/>
      <c r="T54" s="164"/>
      <c r="U54" s="164"/>
      <c r="V54" s="164"/>
      <c r="W54" s="164"/>
    </row>
    <row r="55" spans="1:23" x14ac:dyDescent="0.2">
      <c r="A55" s="104"/>
      <c r="B55" s="8" t="s">
        <v>45</v>
      </c>
      <c r="C55" s="115"/>
      <c r="D55" s="119">
        <v>5000</v>
      </c>
      <c r="E55" s="115">
        <v>2500</v>
      </c>
      <c r="F55" s="120">
        <v>2500</v>
      </c>
      <c r="G55" s="120">
        <v>2500</v>
      </c>
      <c r="H55" s="120">
        <v>3000</v>
      </c>
      <c r="I55" s="120">
        <v>3000</v>
      </c>
      <c r="J55" s="120">
        <v>5000</v>
      </c>
      <c r="K55" s="120">
        <v>5000</v>
      </c>
      <c r="L55" s="120">
        <v>2500</v>
      </c>
      <c r="M55" s="120">
        <v>2500</v>
      </c>
      <c r="N55" s="120">
        <v>2500</v>
      </c>
      <c r="O55" s="120">
        <v>2500</v>
      </c>
      <c r="P55" s="72">
        <f t="shared" si="25"/>
        <v>38500</v>
      </c>
      <c r="R55" s="164"/>
      <c r="S55" s="164"/>
      <c r="T55" s="164"/>
      <c r="U55" s="164"/>
      <c r="V55" s="164"/>
      <c r="W55" s="164"/>
    </row>
    <row r="56" spans="1:23" x14ac:dyDescent="0.2">
      <c r="B56" s="8" t="s">
        <v>46</v>
      </c>
      <c r="C56" s="96"/>
      <c r="D56" s="86">
        <v>5000</v>
      </c>
      <c r="E56" s="96">
        <v>5000</v>
      </c>
      <c r="F56" s="97">
        <v>2500</v>
      </c>
      <c r="G56" s="97">
        <v>2500</v>
      </c>
      <c r="H56" s="97">
        <v>2500</v>
      </c>
      <c r="I56" s="97">
        <v>2500</v>
      </c>
      <c r="J56" s="97">
        <v>2500</v>
      </c>
      <c r="K56" s="97">
        <v>2500</v>
      </c>
      <c r="L56" s="97">
        <v>2500</v>
      </c>
      <c r="M56" s="97">
        <v>2500</v>
      </c>
      <c r="N56" s="97">
        <v>2500</v>
      </c>
      <c r="O56" s="97">
        <v>2500</v>
      </c>
      <c r="P56" s="72">
        <f t="shared" si="25"/>
        <v>35000</v>
      </c>
      <c r="R56" s="164"/>
      <c r="S56" s="164"/>
      <c r="T56" s="164"/>
      <c r="U56" s="164"/>
      <c r="V56" s="164"/>
      <c r="W56" s="164"/>
    </row>
    <row r="57" spans="1:23" x14ac:dyDescent="0.2">
      <c r="B57" s="8" t="s">
        <v>47</v>
      </c>
      <c r="C57" s="96"/>
      <c r="D57" s="86">
        <v>4000</v>
      </c>
      <c r="E57" s="96">
        <v>4000</v>
      </c>
      <c r="F57" s="97">
        <v>4000</v>
      </c>
      <c r="G57" s="97">
        <v>4000</v>
      </c>
      <c r="H57" s="97">
        <v>4000</v>
      </c>
      <c r="I57" s="97">
        <v>4000</v>
      </c>
      <c r="J57" s="97">
        <v>4000</v>
      </c>
      <c r="K57" s="97">
        <v>4000</v>
      </c>
      <c r="L57" s="97">
        <v>4000</v>
      </c>
      <c r="M57" s="97">
        <v>4000</v>
      </c>
      <c r="N57" s="97">
        <v>4000</v>
      </c>
      <c r="O57" s="97">
        <v>4000</v>
      </c>
      <c r="P57" s="72">
        <f t="shared" si="25"/>
        <v>48000</v>
      </c>
      <c r="R57" s="164"/>
      <c r="S57" s="164"/>
      <c r="T57" s="164"/>
      <c r="U57" s="164"/>
      <c r="V57" s="164"/>
      <c r="W57" s="164"/>
    </row>
    <row r="58" spans="1:23" x14ac:dyDescent="0.2">
      <c r="B58" s="8" t="s">
        <v>48</v>
      </c>
      <c r="C58" s="96"/>
      <c r="D58" s="122">
        <v>2000</v>
      </c>
      <c r="E58" s="111">
        <v>2000</v>
      </c>
      <c r="F58" s="112">
        <v>2000</v>
      </c>
      <c r="G58" s="112">
        <v>2000</v>
      </c>
      <c r="H58" s="112">
        <v>2000</v>
      </c>
      <c r="I58" s="112">
        <v>2000</v>
      </c>
      <c r="J58" s="112">
        <v>5000</v>
      </c>
      <c r="K58" s="112">
        <v>3000</v>
      </c>
      <c r="L58" s="112">
        <v>5000</v>
      </c>
      <c r="M58" s="112">
        <v>5000</v>
      </c>
      <c r="N58" s="112">
        <v>5000</v>
      </c>
      <c r="O58" s="112">
        <v>5000</v>
      </c>
      <c r="P58" s="72">
        <f t="shared" si="25"/>
        <v>40000</v>
      </c>
      <c r="R58" s="164"/>
      <c r="S58" s="164"/>
      <c r="T58" s="164"/>
      <c r="U58" s="164"/>
      <c r="V58" s="164"/>
      <c r="W58" s="164"/>
    </row>
    <row r="59" spans="1:23" x14ac:dyDescent="0.2">
      <c r="B59" s="114" t="s">
        <v>49</v>
      </c>
      <c r="C59" s="96"/>
      <c r="D59" s="92">
        <f t="shared" ref="D59:O59" si="26">SUM(D51:D58)</f>
        <v>20000</v>
      </c>
      <c r="E59" s="93">
        <f t="shared" si="26"/>
        <v>18500</v>
      </c>
      <c r="F59" s="94">
        <f t="shared" si="26"/>
        <v>15500</v>
      </c>
      <c r="G59" s="94">
        <f t="shared" si="26"/>
        <v>15500</v>
      </c>
      <c r="H59" s="94">
        <f t="shared" si="26"/>
        <v>15000</v>
      </c>
      <c r="I59" s="94">
        <f t="shared" si="26"/>
        <v>25000</v>
      </c>
      <c r="J59" s="94">
        <f t="shared" si="26"/>
        <v>30000</v>
      </c>
      <c r="K59" s="94">
        <f t="shared" si="26"/>
        <v>28000</v>
      </c>
      <c r="L59" s="94">
        <f t="shared" si="26"/>
        <v>27500</v>
      </c>
      <c r="M59" s="94">
        <f t="shared" si="26"/>
        <v>27500</v>
      </c>
      <c r="N59" s="94">
        <f t="shared" si="26"/>
        <v>27500</v>
      </c>
      <c r="O59" s="94">
        <f t="shared" si="26"/>
        <v>27500</v>
      </c>
      <c r="P59" s="72">
        <f>SUM(P52:P58)</f>
        <v>277500</v>
      </c>
      <c r="R59" s="164"/>
      <c r="S59" s="164"/>
      <c r="T59" s="164"/>
      <c r="U59" s="164"/>
      <c r="V59" s="164"/>
      <c r="W59" s="164"/>
    </row>
    <row r="60" spans="1:23" x14ac:dyDescent="0.2">
      <c r="B60" s="8"/>
      <c r="C60" s="96"/>
      <c r="D60" s="86"/>
      <c r="E60" s="96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72">
        <f t="shared" ref="P60" si="27">SUM(E60:O60)</f>
        <v>0</v>
      </c>
      <c r="R60" s="164"/>
      <c r="S60" s="164"/>
      <c r="T60" s="164"/>
      <c r="U60" s="164"/>
      <c r="V60" s="164"/>
      <c r="W60" s="164"/>
    </row>
    <row r="61" spans="1:23" x14ac:dyDescent="0.2">
      <c r="B61" s="98" t="s">
        <v>50</v>
      </c>
      <c r="C61" s="93"/>
      <c r="D61" s="92">
        <f t="shared" ref="D61:O61" si="28">+D49+D59</f>
        <v>61925</v>
      </c>
      <c r="E61" s="93">
        <f t="shared" si="28"/>
        <v>185450</v>
      </c>
      <c r="F61" s="94">
        <f t="shared" si="28"/>
        <v>318170</v>
      </c>
      <c r="G61" s="94">
        <f t="shared" si="28"/>
        <v>324890</v>
      </c>
      <c r="H61" s="94">
        <f t="shared" si="28"/>
        <v>346350</v>
      </c>
      <c r="I61" s="94">
        <f t="shared" si="28"/>
        <v>394200</v>
      </c>
      <c r="J61" s="94">
        <f t="shared" si="28"/>
        <v>402560</v>
      </c>
      <c r="K61" s="94">
        <f t="shared" si="28"/>
        <v>468420</v>
      </c>
      <c r="L61" s="94">
        <f t="shared" si="28"/>
        <v>467920</v>
      </c>
      <c r="M61" s="94">
        <f t="shared" si="28"/>
        <v>467920</v>
      </c>
      <c r="N61" s="94">
        <f t="shared" si="28"/>
        <v>467920</v>
      </c>
      <c r="O61" s="94">
        <f t="shared" si="28"/>
        <v>467920</v>
      </c>
      <c r="P61" s="72">
        <f>SUM(D61:O61)</f>
        <v>4373645</v>
      </c>
      <c r="R61" s="164"/>
      <c r="S61" s="164"/>
      <c r="T61" s="164"/>
      <c r="U61" s="164"/>
      <c r="V61" s="164"/>
      <c r="W61" s="164"/>
    </row>
    <row r="62" spans="1:23" ht="16" thickBot="1" x14ac:dyDescent="0.25">
      <c r="B62" s="123" t="s">
        <v>51</v>
      </c>
      <c r="C62" s="124"/>
      <c r="D62" s="125">
        <f t="shared" ref="D62:P62" si="29">+D34-D61</f>
        <v>3075</v>
      </c>
      <c r="E62" s="124">
        <f t="shared" si="29"/>
        <v>4600</v>
      </c>
      <c r="F62" s="126">
        <f t="shared" si="29"/>
        <v>4940</v>
      </c>
      <c r="G62" s="126">
        <f t="shared" si="29"/>
        <v>11280</v>
      </c>
      <c r="H62" s="126">
        <f t="shared" si="29"/>
        <v>8900</v>
      </c>
      <c r="I62" s="126">
        <f t="shared" si="29"/>
        <v>-3900</v>
      </c>
      <c r="J62" s="126">
        <f t="shared" si="29"/>
        <v>26770</v>
      </c>
      <c r="K62" s="126">
        <f t="shared" si="29"/>
        <v>-60</v>
      </c>
      <c r="L62" s="126">
        <f t="shared" si="29"/>
        <v>440</v>
      </c>
      <c r="M62" s="126">
        <f t="shared" si="29"/>
        <v>440</v>
      </c>
      <c r="N62" s="126">
        <f t="shared" si="29"/>
        <v>440</v>
      </c>
      <c r="O62" s="126">
        <f t="shared" si="29"/>
        <v>440</v>
      </c>
      <c r="P62" s="127">
        <f t="shared" si="29"/>
        <v>57365</v>
      </c>
      <c r="R62" s="154"/>
      <c r="S62" s="154"/>
      <c r="T62" s="154"/>
      <c r="U62" s="154"/>
      <c r="V62" s="154"/>
      <c r="W62" s="154"/>
    </row>
    <row r="63" spans="1:23" ht="16" thickBot="1" x14ac:dyDescent="0.25">
      <c r="A63" s="1"/>
      <c r="B63" s="1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9"/>
    </row>
    <row r="64" spans="1:23" ht="16" thickBot="1" x14ac:dyDescent="0.25">
      <c r="A64" s="130"/>
      <c r="C64" s="131" t="s">
        <v>52</v>
      </c>
      <c r="D64" s="132">
        <f>+D62</f>
        <v>3075</v>
      </c>
      <c r="E64" s="132">
        <f>+D64+E62</f>
        <v>7675</v>
      </c>
      <c r="F64" s="132">
        <f t="shared" ref="F64:O64" si="30">+E64+F62</f>
        <v>12615</v>
      </c>
      <c r="G64" s="132">
        <f t="shared" si="30"/>
        <v>23895</v>
      </c>
      <c r="H64" s="132">
        <f t="shared" si="30"/>
        <v>32795</v>
      </c>
      <c r="I64" s="132">
        <f t="shared" si="30"/>
        <v>28895</v>
      </c>
      <c r="J64" s="132">
        <f t="shared" si="30"/>
        <v>55665</v>
      </c>
      <c r="K64" s="132">
        <f t="shared" si="30"/>
        <v>55605</v>
      </c>
      <c r="L64" s="132">
        <f t="shared" si="30"/>
        <v>56045</v>
      </c>
      <c r="M64" s="132">
        <f t="shared" si="30"/>
        <v>56485</v>
      </c>
      <c r="N64" s="132">
        <f t="shared" si="30"/>
        <v>56925</v>
      </c>
      <c r="O64" s="133">
        <f t="shared" si="30"/>
        <v>57365</v>
      </c>
      <c r="P64" s="129"/>
      <c r="R64" s="164" t="s">
        <v>92</v>
      </c>
      <c r="S64" s="164"/>
      <c r="T64" s="164"/>
      <c r="U64" s="164"/>
      <c r="V64" s="164"/>
      <c r="W64" s="164"/>
    </row>
    <row r="65" spans="1:23" x14ac:dyDescent="0.2">
      <c r="A65" s="1"/>
      <c r="B65" s="1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9"/>
      <c r="R65" s="164"/>
      <c r="S65" s="164"/>
      <c r="T65" s="164"/>
      <c r="U65" s="164"/>
      <c r="V65" s="164"/>
      <c r="W65" s="164"/>
    </row>
    <row r="66" spans="1:23" x14ac:dyDescent="0.2">
      <c r="R66" s="164"/>
      <c r="S66" s="164"/>
      <c r="T66" s="164"/>
      <c r="U66" s="164"/>
      <c r="V66" s="164"/>
      <c r="W66" s="164"/>
    </row>
  </sheetData>
  <mergeCells count="10">
    <mergeCell ref="A1:P3"/>
    <mergeCell ref="R64:W66"/>
    <mergeCell ref="R3:W3"/>
    <mergeCell ref="R6:W11"/>
    <mergeCell ref="R30:W31"/>
    <mergeCell ref="R4:W4"/>
    <mergeCell ref="R17:W23"/>
    <mergeCell ref="R36:W43"/>
    <mergeCell ref="R46:W50"/>
    <mergeCell ref="R52:W61"/>
  </mergeCells>
  <pageMargins left="0.7" right="0.7" top="0.75" bottom="0.75" header="0.3" footer="0.3"/>
  <pageSetup scale="64" orientation="landscape" r:id="rId1"/>
  <rowBreaks count="1" manualBreakCount="1">
    <brk id="50" max="16383" man="1"/>
  </rowBreaks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 College</vt:lpstr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tmurphy2377</dc:creator>
  <cp:lastModifiedBy>Microsoft Office User</cp:lastModifiedBy>
  <cp:lastPrinted>2022-03-17T16:04:04Z</cp:lastPrinted>
  <dcterms:created xsi:type="dcterms:W3CDTF">2021-02-24T17:38:50Z</dcterms:created>
  <dcterms:modified xsi:type="dcterms:W3CDTF">2022-03-17T17:07:27Z</dcterms:modified>
</cp:coreProperties>
</file>