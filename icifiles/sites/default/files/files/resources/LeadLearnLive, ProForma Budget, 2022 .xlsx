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1">
      <go:sheetsCustomData xmlns:go="http://customooxmlschemas.google.com/" r:id="rId5" roundtripDataSignature="AMtx7mh27a4MUk2Fvg97+/9HKSiv/2P1Rw=="/>
    </ext>
  </extLst>
</workbook>
</file>

<file path=xl/sharedStrings.xml><?xml version="1.0" encoding="utf-8"?>
<sst xmlns="http://schemas.openxmlformats.org/spreadsheetml/2006/main" count="95" uniqueCount="61">
  <si>
    <t>LeadLearnLive</t>
  </si>
  <si>
    <t>Pro-Forma Budget Template</t>
  </si>
  <si>
    <t>Program for Students with Intellectual or Developmental Disabilities</t>
  </si>
  <si>
    <t>Page 1 of 2</t>
  </si>
  <si>
    <t>EXPENSES</t>
  </si>
  <si>
    <t>PERSONNEL</t>
  </si>
  <si>
    <t>*Planning</t>
  </si>
  <si>
    <t>Students begin</t>
  </si>
  <si>
    <t>*Planning = 6 months</t>
  </si>
  <si>
    <t>Period/y.1</t>
  </si>
  <si>
    <t>Year Two</t>
  </si>
  <si>
    <t>Year Three</t>
  </si>
  <si>
    <t>Year Four</t>
  </si>
  <si>
    <t>Year Five</t>
  </si>
  <si>
    <t>Year Six</t>
  </si>
  <si>
    <t>Year 7</t>
  </si>
  <si>
    <t>Year 8</t>
  </si>
  <si>
    <t>Year 9</t>
  </si>
  <si>
    <t>Year 10</t>
  </si>
  <si>
    <r>
      <rPr>
        <rFont val="Calibri"/>
        <b/>
        <color theme="1"/>
        <sz val="11.0"/>
      </rPr>
      <t>Program Director</t>
    </r>
    <r>
      <rPr>
        <rFont val="Calibri"/>
        <color theme="1"/>
        <sz val="11.0"/>
      </rPr>
      <t xml:space="preserve"> </t>
    </r>
  </si>
  <si>
    <t>Coordinator</t>
  </si>
  <si>
    <t>Staff (Admin, Coach, Support Staff) Add Y.4</t>
  </si>
  <si>
    <t>Stipends:  RA's, Tutors</t>
  </si>
  <si>
    <t xml:space="preserve">Stipends: Faculty Release, Mentors </t>
  </si>
  <si>
    <t>Graduate Assistantship</t>
  </si>
  <si>
    <t>Total</t>
  </si>
  <si>
    <r>
      <rPr>
        <rFont val="Calibri"/>
        <b/>
        <color theme="1"/>
        <sz val="11.0"/>
      </rPr>
      <t>Fringe Benefits</t>
    </r>
    <r>
      <rPr>
        <rFont val="Calibri"/>
        <color theme="1"/>
        <sz val="11.0"/>
      </rPr>
      <t xml:space="preserve"> (45% estimate)</t>
    </r>
  </si>
  <si>
    <t>Program Director</t>
  </si>
  <si>
    <t>Administrative Assistant</t>
  </si>
  <si>
    <t>Coordinator (added year 4)</t>
  </si>
  <si>
    <t>Subtotal Personnel</t>
  </si>
  <si>
    <t>TRAVEL</t>
  </si>
  <si>
    <t>Professional Development for Program Staff</t>
  </si>
  <si>
    <t xml:space="preserve">Travel for Site Visits to Nationally Recognized </t>
  </si>
  <si>
    <t xml:space="preserve">   Programs</t>
  </si>
  <si>
    <t>Subtotal Travel</t>
  </si>
  <si>
    <t>Grand Totals</t>
  </si>
  <si>
    <r>
      <rPr>
        <rFont val="Calibri"/>
        <b/>
        <color theme="1"/>
        <sz val="11.0"/>
      </rPr>
      <t>Note:</t>
    </r>
    <r>
      <rPr>
        <rFont val="Calibri"/>
        <color theme="1"/>
        <sz val="11.0"/>
      </rPr>
      <t xml:space="preserve"> University provides Office Space, Furniture, Computers, Printers, Teaching supplies, Project promotion and Orientation</t>
    </r>
  </si>
  <si>
    <t xml:space="preserve">  </t>
  </si>
  <si>
    <t>Page 2 of 2</t>
  </si>
  <si>
    <t>INCOME</t>
  </si>
  <si>
    <t xml:space="preserve"> </t>
  </si>
  <si>
    <t>Based on In-State Yearly Cost of $20,000 ea. Student</t>
  </si>
  <si>
    <t>Planning</t>
  </si>
  <si>
    <r>
      <rPr>
        <rFont val="Calibri"/>
        <color theme="1"/>
        <sz val="11.0"/>
      </rPr>
      <t>plus a $2,000 program fee</t>
    </r>
    <r>
      <rPr>
        <rFont val="Calibri"/>
        <color theme="1"/>
        <sz val="9.0"/>
      </rPr>
      <t xml:space="preserve"> ($22,000 tuition/fees/housing)</t>
    </r>
  </si>
  <si>
    <t># Students</t>
  </si>
  <si>
    <t>**Note:  Year Six - Increase in Program Fee Required</t>
  </si>
  <si>
    <t>Of $22,000 Total Program Cost</t>
  </si>
  <si>
    <t>**3k fee</t>
  </si>
  <si>
    <t>3k fee</t>
  </si>
  <si>
    <r>
      <rPr>
        <rFont val="Calibri"/>
        <color rgb="FFFF0000"/>
        <sz val="11.0"/>
      </rPr>
      <t xml:space="preserve"> √</t>
    </r>
    <r>
      <rPr>
        <rFont val="Calibri"/>
        <color theme="1"/>
        <sz val="11.0"/>
      </rPr>
      <t xml:space="preserve"> </t>
    </r>
    <r>
      <rPr>
        <rFont val="Calibri"/>
        <color rgb="FFFF0000"/>
        <sz val="11.0"/>
      </rPr>
      <t>to Program</t>
    </r>
  </si>
  <si>
    <t>to University (Housing/Meals)</t>
  </si>
  <si>
    <t>Program Income:</t>
  </si>
  <si>
    <t>Grant Start Up Award</t>
  </si>
  <si>
    <t>Total:</t>
  </si>
  <si>
    <r>
      <rPr>
        <rFont val="Calibri"/>
        <b/>
        <color rgb="FFFF0000"/>
        <sz val="11.0"/>
      </rPr>
      <t xml:space="preserve"> </t>
    </r>
    <r>
      <rPr>
        <rFont val="Calibri"/>
        <b/>
        <color rgb="FFFF0000"/>
        <sz val="11.0"/>
      </rPr>
      <t>√ To Program</t>
    </r>
  </si>
  <si>
    <t>Total Income</t>
  </si>
  <si>
    <t>Total Expenses</t>
  </si>
  <si>
    <t>(from Grand Totals page 1)</t>
  </si>
  <si>
    <t>Balance</t>
  </si>
  <si>
    <t>Cumulative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</si>
</sst>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_);[Red]\(&quot;$&quot;#,##0\)"/>
  </numFmts>
  <fonts count="14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1.0"/>
      <color rgb="FFFF0000"/>
      <name val="Calibri"/>
    </font>
    <font>
      <sz val="20.0"/>
      <color theme="1"/>
      <name val="Calibri"/>
    </font>
    <font>
      <b/>
      <u/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24.0"/>
      <color theme="1"/>
      <name val="Calibri"/>
    </font>
    <font/>
    <font>
      <b/>
      <u/>
      <sz val="11.0"/>
      <color theme="1"/>
      <name val="Calibri"/>
    </font>
    <font>
      <b/>
      <sz val="11.0"/>
      <color rgb="FFFF0000"/>
      <name val="Calibri"/>
    </font>
    <font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AF0F6"/>
        <bgColor rgb="FFEAF0F6"/>
      </patternFill>
    </fill>
    <fill>
      <patternFill patternType="solid">
        <fgColor rgb="FFF2F2F2"/>
        <bgColor rgb="FFF2F2F2"/>
      </patternFill>
    </fill>
    <fill>
      <patternFill patternType="solid">
        <fgColor rgb="FFC2D69B"/>
        <bgColor rgb="FFC2D69B"/>
      </patternFill>
    </fill>
  </fills>
  <borders count="16">
    <border/>
    <border>
      <left/>
      <right/>
      <top/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quotePrefix="1" borderId="0" fillId="0" fontId="3" numFmtId="14" xfId="0" applyFont="1" applyNumberFormat="1"/>
    <xf borderId="0" fillId="0" fontId="4" numFmtId="0" xfId="0" applyFont="1"/>
    <xf borderId="1" fillId="2" fontId="5" numFmtId="0" xfId="0" applyBorder="1" applyFill="1" applyFont="1"/>
    <xf borderId="1" fillId="2" fontId="2" numFmtId="0" xfId="0" applyBorder="1" applyFont="1"/>
    <xf borderId="2" fillId="3" fontId="6" numFmtId="0" xfId="0" applyBorder="1" applyFill="1" applyFont="1"/>
    <xf borderId="2" fillId="3" fontId="2" numFmtId="0" xfId="0" applyBorder="1" applyFont="1"/>
    <xf borderId="2" fillId="3" fontId="2" numFmtId="0" xfId="0" applyAlignment="1" applyBorder="1" applyFont="1">
      <alignment horizontal="center"/>
    </xf>
    <xf borderId="2" fillId="3" fontId="7" numFmtId="0" xfId="0" applyAlignment="1" applyBorder="1" applyFont="1">
      <alignment horizontal="right"/>
    </xf>
    <xf borderId="2" fillId="3" fontId="7" numFmtId="0" xfId="0" applyBorder="1" applyFont="1"/>
    <xf borderId="2" fillId="4" fontId="2" numFmtId="0" xfId="0" applyBorder="1" applyFill="1" applyFont="1"/>
    <xf borderId="3" fillId="4" fontId="2" numFmtId="0" xfId="0" applyBorder="1" applyFont="1"/>
    <xf borderId="4" fillId="4" fontId="2" numFmtId="0" xfId="0" applyBorder="1" applyFont="1"/>
    <xf borderId="5" fillId="0" fontId="2" numFmtId="0" xfId="0" applyBorder="1" applyFont="1"/>
    <xf borderId="6" fillId="3" fontId="2" numFmtId="0" xfId="0" applyBorder="1" applyFont="1"/>
    <xf borderId="6" fillId="3" fontId="7" numFmtId="0" xfId="0" applyAlignment="1" applyBorder="1" applyFont="1">
      <alignment horizontal="right"/>
    </xf>
    <xf borderId="6" fillId="4" fontId="7" numFmtId="0" xfId="0" applyAlignment="1" applyBorder="1" applyFont="1">
      <alignment horizontal="right"/>
    </xf>
    <xf borderId="6" fillId="4" fontId="2" numFmtId="0" xfId="0" applyBorder="1" applyFont="1"/>
    <xf borderId="6" fillId="0" fontId="2" numFmtId="0" xfId="0" applyBorder="1" applyFont="1"/>
    <xf borderId="6" fillId="3" fontId="2" numFmtId="164" xfId="0" applyBorder="1" applyFont="1" applyNumberFormat="1"/>
    <xf borderId="6" fillId="4" fontId="2" numFmtId="164" xfId="0" applyBorder="1" applyFont="1" applyNumberFormat="1"/>
    <xf borderId="6" fillId="3" fontId="7" numFmtId="0" xfId="0" applyBorder="1" applyFont="1"/>
    <xf borderId="1" fillId="3" fontId="2" numFmtId="0" xfId="0" applyBorder="1" applyFont="1"/>
    <xf borderId="6" fillId="3" fontId="2" numFmtId="3" xfId="0" applyBorder="1" applyFont="1" applyNumberFormat="1"/>
    <xf borderId="6" fillId="3" fontId="2" numFmtId="165" xfId="0" applyBorder="1" applyFont="1" applyNumberFormat="1"/>
    <xf borderId="6" fillId="4" fontId="2" numFmtId="165" xfId="0" applyBorder="1" applyFont="1" applyNumberFormat="1"/>
    <xf borderId="6" fillId="3" fontId="7" numFmtId="164" xfId="0" applyBorder="1" applyFont="1" applyNumberFormat="1"/>
    <xf borderId="6" fillId="4" fontId="7" numFmtId="164" xfId="0" applyBorder="1" applyFont="1" applyNumberFormat="1"/>
    <xf borderId="6" fillId="3" fontId="2" numFmtId="0" xfId="0" applyAlignment="1" applyBorder="1" applyFont="1">
      <alignment horizontal="right"/>
    </xf>
    <xf borderId="6" fillId="5" fontId="2" numFmtId="0" xfId="0" applyBorder="1" applyFill="1" applyFont="1"/>
    <xf borderId="6" fillId="6" fontId="8" numFmtId="0" xfId="0" applyBorder="1" applyFill="1" applyFont="1"/>
    <xf borderId="6" fillId="6" fontId="2" numFmtId="0" xfId="0" applyBorder="1" applyFont="1"/>
    <xf borderId="6" fillId="6" fontId="2" numFmtId="164" xfId="0" applyBorder="1" applyFont="1" applyNumberFormat="1"/>
    <xf borderId="6" fillId="6" fontId="7" numFmtId="0" xfId="0" applyBorder="1" applyFont="1"/>
    <xf borderId="6" fillId="6" fontId="7" numFmtId="164" xfId="0" applyBorder="1" applyFont="1" applyNumberFormat="1"/>
    <xf borderId="6" fillId="0" fontId="2" numFmtId="164" xfId="0" applyBorder="1" applyFont="1" applyNumberFormat="1"/>
    <xf borderId="6" fillId="2" fontId="2" numFmtId="0" xfId="0" applyBorder="1" applyFont="1"/>
    <xf borderId="6" fillId="2" fontId="7" numFmtId="0" xfId="0" applyBorder="1" applyFont="1"/>
    <xf borderId="6" fillId="2" fontId="7" numFmtId="164" xfId="0" applyBorder="1" applyFont="1" applyNumberFormat="1"/>
    <xf borderId="6" fillId="5" fontId="7" numFmtId="0" xfId="0" applyBorder="1" applyFont="1"/>
    <xf borderId="6" fillId="5" fontId="7" numFmtId="164" xfId="0" applyBorder="1" applyFont="1" applyNumberFormat="1"/>
    <xf borderId="6" fillId="4" fontId="7" numFmtId="165" xfId="0" applyBorder="1" applyFont="1" applyNumberFormat="1"/>
    <xf borderId="7" fillId="0" fontId="2" numFmtId="0" xfId="0" applyBorder="1" applyFont="1"/>
    <xf borderId="8" fillId="5" fontId="2" numFmtId="0" xfId="0" applyBorder="1" applyFont="1"/>
    <xf borderId="8" fillId="5" fontId="7" numFmtId="0" xfId="0" applyBorder="1" applyFont="1"/>
    <xf borderId="8" fillId="5" fontId="7" numFmtId="164" xfId="0" applyBorder="1" applyFont="1" applyNumberFormat="1"/>
    <xf borderId="9" fillId="5" fontId="2" numFmtId="0" xfId="0" applyBorder="1" applyFont="1"/>
    <xf borderId="10" fillId="5" fontId="7" numFmtId="165" xfId="0" applyBorder="1" applyFont="1" applyNumberFormat="1"/>
    <xf borderId="11" fillId="0" fontId="2" numFmtId="0" xfId="0" applyBorder="1" applyFont="1"/>
    <xf borderId="1" fillId="5" fontId="2" numFmtId="0" xfId="0" applyBorder="1" applyFont="1"/>
    <xf borderId="1" fillId="5" fontId="7" numFmtId="0" xfId="0" applyBorder="1" applyFont="1"/>
    <xf borderId="1" fillId="5" fontId="7" numFmtId="164" xfId="0" applyBorder="1" applyFont="1" applyNumberFormat="1"/>
    <xf borderId="1" fillId="5" fontId="7" numFmtId="165" xfId="0" applyBorder="1" applyFont="1" applyNumberFormat="1"/>
    <xf quotePrefix="1" borderId="0" fillId="0" fontId="1" numFmtId="14" xfId="0" applyFont="1" applyNumberFormat="1"/>
    <xf borderId="0" fillId="0" fontId="1" numFmtId="14" xfId="0" applyFont="1" applyNumberFormat="1"/>
    <xf borderId="3" fillId="2" fontId="9" numFmtId="0" xfId="0" applyBorder="1" applyFont="1"/>
    <xf borderId="12" fillId="5" fontId="2" numFmtId="0" xfId="0" applyBorder="1" applyFont="1"/>
    <xf borderId="13" fillId="0" fontId="10" numFmtId="0" xfId="0" applyBorder="1" applyFont="1"/>
    <xf borderId="14" fillId="0" fontId="10" numFmtId="0" xfId="0" applyBorder="1" applyFont="1"/>
    <xf borderId="2" fillId="5" fontId="2" numFmtId="0" xfId="0" applyBorder="1" applyFont="1"/>
    <xf borderId="15" fillId="0" fontId="7" numFmtId="0" xfId="0" applyAlignment="1" applyBorder="1" applyFont="1">
      <alignment horizontal="right"/>
    </xf>
    <xf borderId="2" fillId="5" fontId="7" numFmtId="0" xfId="0" applyAlignment="1" applyBorder="1" applyFont="1">
      <alignment horizontal="right"/>
    </xf>
    <xf borderId="2" fillId="5" fontId="7" numFmtId="164" xfId="0" applyAlignment="1" applyBorder="1" applyFont="1" applyNumberFormat="1">
      <alignment horizontal="right"/>
    </xf>
    <xf borderId="2" fillId="4" fontId="7" numFmtId="0" xfId="0" applyAlignment="1" applyBorder="1" applyFont="1">
      <alignment horizontal="right"/>
    </xf>
    <xf borderId="2" fillId="4" fontId="7" numFmtId="164" xfId="0" applyAlignment="1" applyBorder="1" applyFont="1" applyNumberFormat="1">
      <alignment horizontal="right"/>
    </xf>
    <xf borderId="2" fillId="4" fontId="7" numFmtId="0" xfId="0" applyAlignment="1" applyBorder="1" applyFont="1">
      <alignment horizontal="left"/>
    </xf>
    <xf borderId="12" fillId="5" fontId="2" numFmtId="0" xfId="0" applyAlignment="1" applyBorder="1" applyFont="1">
      <alignment horizontal="left"/>
    </xf>
    <xf borderId="6" fillId="0" fontId="7" numFmtId="0" xfId="0" applyAlignment="1" applyBorder="1" applyFont="1">
      <alignment horizontal="right"/>
    </xf>
    <xf borderId="6" fillId="5" fontId="7" numFmtId="0" xfId="0" applyAlignment="1" applyBorder="1" applyFont="1">
      <alignment horizontal="right"/>
    </xf>
    <xf borderId="6" fillId="5" fontId="2" numFmtId="164" xfId="0" applyAlignment="1" applyBorder="1" applyFont="1" applyNumberFormat="1">
      <alignment horizontal="right"/>
    </xf>
    <xf borderId="6" fillId="5" fontId="2" numFmtId="164" xfId="0" applyBorder="1" applyFont="1" applyNumberFormat="1"/>
    <xf borderId="6" fillId="4" fontId="2" numFmtId="164" xfId="0" applyAlignment="1" applyBorder="1" applyFont="1" applyNumberFormat="1">
      <alignment horizontal="right"/>
    </xf>
    <xf borderId="6" fillId="5" fontId="2" numFmtId="165" xfId="0" applyBorder="1" applyFont="1" applyNumberFormat="1"/>
    <xf borderId="6" fillId="7" fontId="2" numFmtId="165" xfId="0" applyBorder="1" applyFill="1" applyFont="1" applyNumberFormat="1"/>
    <xf borderId="6" fillId="7" fontId="2" numFmtId="0" xfId="0" applyBorder="1" applyFont="1"/>
    <xf borderId="6" fillId="7" fontId="2" numFmtId="164" xfId="0" applyBorder="1" applyFont="1" applyNumberFormat="1"/>
    <xf borderId="6" fillId="5" fontId="8" numFmtId="0" xfId="0" applyBorder="1" applyFont="1"/>
    <xf borderId="6" fillId="5" fontId="8" numFmtId="164" xfId="0" applyBorder="1" applyFont="1" applyNumberFormat="1"/>
    <xf borderId="6" fillId="4" fontId="8" numFmtId="164" xfId="0" applyBorder="1" applyFont="1" applyNumberFormat="1"/>
    <xf borderId="6" fillId="5" fontId="11" numFmtId="0" xfId="0" applyBorder="1" applyFont="1"/>
    <xf borderId="6" fillId="5" fontId="8" numFmtId="0" xfId="0" applyAlignment="1" applyBorder="1" applyFont="1">
      <alignment horizontal="right"/>
    </xf>
    <xf borderId="6" fillId="5" fontId="12" numFmtId="0" xfId="0" applyBorder="1" applyFont="1"/>
    <xf borderId="6" fillId="5" fontId="13" numFmtId="164" xfId="0" applyBorder="1" applyFont="1" applyNumberFormat="1"/>
    <xf borderId="6" fillId="2" fontId="8" numFmtId="0" xfId="0" applyBorder="1" applyFont="1"/>
    <xf borderId="6" fillId="2" fontId="8" numFmtId="164" xfId="0" applyBorder="1" applyFont="1" applyNumberFormat="1"/>
    <xf borderId="6" fillId="4" fontId="7" numFmtId="0" xfId="0" applyBorder="1" applyFont="1"/>
    <xf borderId="6" fillId="0" fontId="7" numFmtId="0" xfId="0" applyBorder="1" applyFont="1"/>
    <xf borderId="6" fillId="8" fontId="7" numFmtId="0" xfId="0" applyBorder="1" applyFill="1" applyFont="1"/>
    <xf borderId="6" fillId="8" fontId="7" numFmtId="164" xfId="0" applyBorder="1" applyFont="1" applyNumberFormat="1"/>
    <xf borderId="0" fillId="0" fontId="7" numFmtId="0" xfId="0" applyFont="1"/>
    <xf borderId="0" fillId="0" fontId="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14"/>
    <col customWidth="1" min="3" max="3" width="11.43"/>
    <col customWidth="1" min="4" max="4" width="8.86"/>
    <col customWidth="1" min="5" max="5" width="2.43"/>
    <col customWidth="1" min="6" max="6" width="9.71"/>
    <col customWidth="1" min="7" max="7" width="1.43"/>
    <col customWidth="1" min="8" max="8" width="12.86"/>
    <col customWidth="1" min="9" max="9" width="2.0"/>
    <col customWidth="1" min="10" max="10" width="10.71"/>
    <col customWidth="1" min="11" max="11" width="1.86"/>
    <col customWidth="1" min="12" max="12" width="13.43"/>
    <col customWidth="1" min="13" max="13" width="1.29"/>
    <col customWidth="1" min="14" max="14" width="11.0"/>
    <col customWidth="1" min="15" max="15" width="1.29"/>
    <col customWidth="1" min="16" max="16" width="12.14"/>
    <col customWidth="1" min="17" max="17" width="2.71"/>
    <col customWidth="1" min="18" max="18" width="10.29"/>
    <col customWidth="1" min="19" max="19" width="2.0"/>
    <col customWidth="1" min="20" max="20" width="11.43"/>
    <col customWidth="1" min="21" max="21" width="2.43"/>
    <col customWidth="1" min="22" max="22" width="11.43"/>
    <col customWidth="1" min="23" max="23" width="1.86"/>
    <col customWidth="1" min="24" max="24" width="11.43"/>
    <col customWidth="1" min="25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2"/>
      <c r="C4" s="2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6" t="s">
        <v>4</v>
      </c>
      <c r="B6" s="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5</v>
      </c>
      <c r="B7" s="9"/>
      <c r="C7" s="9"/>
      <c r="D7" s="9"/>
      <c r="E7" s="10"/>
      <c r="F7" s="11" t="s">
        <v>6</v>
      </c>
      <c r="G7" s="9"/>
      <c r="H7" s="12" t="s">
        <v>7</v>
      </c>
      <c r="I7" s="9"/>
      <c r="J7" s="9"/>
      <c r="K7" s="9"/>
      <c r="L7" s="9"/>
      <c r="M7" s="9"/>
      <c r="N7" s="13"/>
      <c r="O7" s="14"/>
      <c r="P7" s="15"/>
      <c r="Q7" s="16"/>
      <c r="R7" s="15"/>
      <c r="S7" s="16"/>
      <c r="T7" s="15"/>
      <c r="U7" s="16"/>
      <c r="V7" s="15"/>
      <c r="W7" s="16"/>
      <c r="X7" s="15"/>
      <c r="Y7" s="2"/>
      <c r="Z7" s="2"/>
    </row>
    <row r="8">
      <c r="A8" s="17"/>
      <c r="B8" s="17" t="s">
        <v>8</v>
      </c>
      <c r="C8" s="17"/>
      <c r="D8" s="17"/>
      <c r="E8" s="17"/>
      <c r="F8" s="18" t="s">
        <v>9</v>
      </c>
      <c r="G8" s="18"/>
      <c r="H8" s="18" t="s">
        <v>10</v>
      </c>
      <c r="I8" s="18"/>
      <c r="J8" s="18" t="s">
        <v>11</v>
      </c>
      <c r="K8" s="17"/>
      <c r="L8" s="18" t="s">
        <v>12</v>
      </c>
      <c r="M8" s="17"/>
      <c r="N8" s="19" t="s">
        <v>13</v>
      </c>
      <c r="O8" s="20"/>
      <c r="P8" s="19" t="s">
        <v>14</v>
      </c>
      <c r="Q8" s="21"/>
      <c r="R8" s="19" t="s">
        <v>15</v>
      </c>
      <c r="S8" s="21"/>
      <c r="T8" s="19" t="s">
        <v>16</v>
      </c>
      <c r="U8" s="21"/>
      <c r="V8" s="19" t="s">
        <v>17</v>
      </c>
      <c r="W8" s="21"/>
      <c r="X8" s="19" t="s">
        <v>18</v>
      </c>
      <c r="Y8" s="2"/>
      <c r="Z8" s="2"/>
    </row>
    <row r="9">
      <c r="A9" s="17" t="s">
        <v>19</v>
      </c>
      <c r="B9" s="17"/>
      <c r="C9" s="17"/>
      <c r="D9" s="17"/>
      <c r="E9" s="17"/>
      <c r="F9" s="22">
        <v>25000.0</v>
      </c>
      <c r="G9" s="22"/>
      <c r="H9" s="22">
        <v>50000.0</v>
      </c>
      <c r="I9" s="22"/>
      <c r="J9" s="22">
        <f t="shared" ref="J9:J10" si="1">(H9*1.03)</f>
        <v>51500</v>
      </c>
      <c r="K9" s="17"/>
      <c r="L9" s="22">
        <f t="shared" ref="L9:L10" si="2">(J9*1.03)</f>
        <v>53045</v>
      </c>
      <c r="M9" s="17"/>
      <c r="N9" s="23">
        <f t="shared" ref="N9:N11" si="3">(L9*1.03)</f>
        <v>54636.35</v>
      </c>
      <c r="O9" s="20"/>
      <c r="P9" s="23">
        <f t="shared" ref="P9:P11" si="4">(N9*1.03)</f>
        <v>56275.4405</v>
      </c>
      <c r="Q9" s="21"/>
      <c r="R9" s="23">
        <f t="shared" ref="R9:R11" si="5">(P9*1.03)</f>
        <v>57963.70372</v>
      </c>
      <c r="S9" s="21"/>
      <c r="T9" s="23">
        <f t="shared" ref="T9:T11" si="6">(R9*1.03)</f>
        <v>59702.61483</v>
      </c>
      <c r="U9" s="21"/>
      <c r="V9" s="23">
        <f t="shared" ref="V9:V11" si="7">(T9*1.03)</f>
        <v>61493.69327</v>
      </c>
      <c r="W9" s="21"/>
      <c r="X9" s="23">
        <f t="shared" ref="X9:X11" si="8">(V9*1.03)</f>
        <v>63338.50407</v>
      </c>
      <c r="Y9" s="2"/>
      <c r="Z9" s="2"/>
    </row>
    <row r="10">
      <c r="A10" s="24" t="s">
        <v>20</v>
      </c>
      <c r="B10" s="17"/>
      <c r="C10" s="17"/>
      <c r="D10" s="17"/>
      <c r="E10" s="17"/>
      <c r="F10" s="22">
        <v>15000.0</v>
      </c>
      <c r="G10" s="22"/>
      <c r="H10" s="22">
        <v>35000.0</v>
      </c>
      <c r="I10" s="22"/>
      <c r="J10" s="22">
        <f t="shared" si="1"/>
        <v>36050</v>
      </c>
      <c r="K10" s="17"/>
      <c r="L10" s="22">
        <f t="shared" si="2"/>
        <v>37131.5</v>
      </c>
      <c r="M10" s="17"/>
      <c r="N10" s="23">
        <f t="shared" si="3"/>
        <v>38245.445</v>
      </c>
      <c r="O10" s="20"/>
      <c r="P10" s="23">
        <f t="shared" si="4"/>
        <v>39392.80835</v>
      </c>
      <c r="Q10" s="21"/>
      <c r="R10" s="23">
        <f t="shared" si="5"/>
        <v>40574.5926</v>
      </c>
      <c r="S10" s="21"/>
      <c r="T10" s="23">
        <f t="shared" si="6"/>
        <v>41791.83038</v>
      </c>
      <c r="U10" s="21"/>
      <c r="V10" s="23">
        <f t="shared" si="7"/>
        <v>43045.58529</v>
      </c>
      <c r="W10" s="21"/>
      <c r="X10" s="23">
        <f t="shared" si="8"/>
        <v>44336.95285</v>
      </c>
      <c r="Y10" s="2"/>
      <c r="Z10" s="2"/>
    </row>
    <row r="11">
      <c r="A11" s="24" t="s">
        <v>21</v>
      </c>
      <c r="B11" s="17"/>
      <c r="C11" s="17"/>
      <c r="D11" s="25"/>
      <c r="E11" s="17"/>
      <c r="F11" s="22"/>
      <c r="G11" s="22"/>
      <c r="H11" s="22"/>
      <c r="I11" s="22"/>
      <c r="J11" s="22"/>
      <c r="K11" s="17"/>
      <c r="L11" s="26">
        <v>35000.0</v>
      </c>
      <c r="M11" s="17"/>
      <c r="N11" s="23">
        <f t="shared" si="3"/>
        <v>36050</v>
      </c>
      <c r="O11" s="20"/>
      <c r="P11" s="23">
        <f t="shared" si="4"/>
        <v>37131.5</v>
      </c>
      <c r="Q11" s="21"/>
      <c r="R11" s="23">
        <f t="shared" si="5"/>
        <v>38245.445</v>
      </c>
      <c r="S11" s="21"/>
      <c r="T11" s="23">
        <f t="shared" si="6"/>
        <v>39392.80835</v>
      </c>
      <c r="U11" s="21"/>
      <c r="V11" s="23">
        <f t="shared" si="7"/>
        <v>40574.5926</v>
      </c>
      <c r="W11" s="21"/>
      <c r="X11" s="23">
        <f t="shared" si="8"/>
        <v>41791.83038</v>
      </c>
      <c r="Y11" s="2"/>
      <c r="Z11" s="2"/>
    </row>
    <row r="12">
      <c r="A12" s="24" t="s">
        <v>22</v>
      </c>
      <c r="B12" s="17"/>
      <c r="C12" s="17"/>
      <c r="D12" s="17"/>
      <c r="E12" s="17"/>
      <c r="F12" s="22"/>
      <c r="G12" s="22"/>
      <c r="H12" s="22">
        <v>8000.0</v>
      </c>
      <c r="I12" s="22"/>
      <c r="J12" s="22">
        <v>8000.0</v>
      </c>
      <c r="K12" s="17"/>
      <c r="L12" s="27">
        <v>8000.0</v>
      </c>
      <c r="M12" s="17"/>
      <c r="N12" s="28">
        <v>12000.0</v>
      </c>
      <c r="O12" s="20"/>
      <c r="P12" s="28">
        <v>14000.0</v>
      </c>
      <c r="Q12" s="21"/>
      <c r="R12" s="28">
        <v>14000.0</v>
      </c>
      <c r="S12" s="21"/>
      <c r="T12" s="28">
        <v>14000.0</v>
      </c>
      <c r="U12" s="21"/>
      <c r="V12" s="28">
        <v>14000.0</v>
      </c>
      <c r="W12" s="21"/>
      <c r="X12" s="28">
        <v>14000.0</v>
      </c>
      <c r="Y12" s="2"/>
      <c r="Z12" s="2"/>
    </row>
    <row r="13">
      <c r="A13" s="24" t="s">
        <v>23</v>
      </c>
      <c r="B13" s="17"/>
      <c r="C13" s="17"/>
      <c r="D13" s="17"/>
      <c r="E13" s="17"/>
      <c r="F13" s="22"/>
      <c r="G13" s="22"/>
      <c r="H13" s="22">
        <v>5000.0</v>
      </c>
      <c r="I13" s="22"/>
      <c r="J13" s="22">
        <v>5000.0</v>
      </c>
      <c r="K13" s="17"/>
      <c r="L13" s="27">
        <v>5000.0</v>
      </c>
      <c r="M13" s="17"/>
      <c r="N13" s="28">
        <v>6000.0</v>
      </c>
      <c r="O13" s="20"/>
      <c r="P13" s="28">
        <v>7000.0</v>
      </c>
      <c r="Q13" s="21"/>
      <c r="R13" s="28">
        <v>7000.0</v>
      </c>
      <c r="S13" s="21"/>
      <c r="T13" s="28">
        <v>7000.0</v>
      </c>
      <c r="U13" s="21"/>
      <c r="V13" s="28">
        <v>7000.0</v>
      </c>
      <c r="W13" s="21"/>
      <c r="X13" s="28">
        <v>7000.0</v>
      </c>
      <c r="Y13" s="2"/>
      <c r="Z13" s="2"/>
    </row>
    <row r="14">
      <c r="A14" s="17"/>
      <c r="B14" s="17"/>
      <c r="C14" s="17"/>
      <c r="D14" s="17"/>
      <c r="E14" s="17"/>
      <c r="F14" s="22"/>
      <c r="G14" s="22"/>
      <c r="H14" s="22"/>
      <c r="I14" s="22"/>
      <c r="J14" s="22"/>
      <c r="K14" s="17"/>
      <c r="L14" s="17"/>
      <c r="M14" s="17"/>
      <c r="N14" s="20"/>
      <c r="O14" s="20"/>
      <c r="P14" s="20"/>
      <c r="Q14" s="21"/>
      <c r="R14" s="20"/>
      <c r="S14" s="21"/>
      <c r="T14" s="20"/>
      <c r="U14" s="21"/>
      <c r="V14" s="20"/>
      <c r="W14" s="21"/>
      <c r="X14" s="20"/>
      <c r="Y14" s="2"/>
      <c r="Z14" s="2"/>
    </row>
    <row r="15">
      <c r="A15" s="24" t="s">
        <v>24</v>
      </c>
      <c r="B15" s="17"/>
      <c r="C15" s="17"/>
      <c r="D15" s="17"/>
      <c r="E15" s="17"/>
      <c r="F15" s="22">
        <v>0.0</v>
      </c>
      <c r="G15" s="22"/>
      <c r="H15" s="22">
        <v>7000.0</v>
      </c>
      <c r="I15" s="22"/>
      <c r="J15" s="22">
        <v>7000.0</v>
      </c>
      <c r="K15" s="17"/>
      <c r="L15" s="27">
        <v>7000.0</v>
      </c>
      <c r="M15" s="17"/>
      <c r="N15" s="28">
        <v>7000.0</v>
      </c>
      <c r="O15" s="20"/>
      <c r="P15" s="28">
        <v>7000.0</v>
      </c>
      <c r="Q15" s="21"/>
      <c r="R15" s="28">
        <v>7000.0</v>
      </c>
      <c r="S15" s="21"/>
      <c r="T15" s="28">
        <v>7000.0</v>
      </c>
      <c r="U15" s="21"/>
      <c r="V15" s="28">
        <v>7000.0</v>
      </c>
      <c r="W15" s="21"/>
      <c r="X15" s="28">
        <v>7000.0</v>
      </c>
      <c r="Y15" s="2"/>
      <c r="Z15" s="2"/>
    </row>
    <row r="16">
      <c r="A16" s="17"/>
      <c r="B16" s="17"/>
      <c r="C16" s="17"/>
      <c r="D16" s="24" t="s">
        <v>25</v>
      </c>
      <c r="E16" s="17"/>
      <c r="F16" s="29">
        <f>SUM(F9:F15)</f>
        <v>40000</v>
      </c>
      <c r="G16" s="29"/>
      <c r="H16" s="29">
        <f>SUM(H9:H15)</f>
        <v>105000</v>
      </c>
      <c r="I16" s="29"/>
      <c r="J16" s="29">
        <f>SUM(J9:J15)</f>
        <v>107550</v>
      </c>
      <c r="K16" s="17"/>
      <c r="L16" s="29">
        <f>SUM(L2:L15)</f>
        <v>145176.5</v>
      </c>
      <c r="M16" s="17"/>
      <c r="N16" s="30">
        <f>SUM(N9:N15)</f>
        <v>153931.795</v>
      </c>
      <c r="O16" s="20"/>
      <c r="P16" s="30">
        <f>SUM(P9:P15)</f>
        <v>160799.7489</v>
      </c>
      <c r="Q16" s="21"/>
      <c r="R16" s="30">
        <f>SUM(R9:R15)</f>
        <v>164783.7413</v>
      </c>
      <c r="S16" s="21"/>
      <c r="T16" s="30">
        <f>SUM(T9:T15)</f>
        <v>168887.2536</v>
      </c>
      <c r="U16" s="21"/>
      <c r="V16" s="30">
        <f>SUM(V9:V15)</f>
        <v>173113.8712</v>
      </c>
      <c r="W16" s="21"/>
      <c r="X16" s="30">
        <f>SUM(X9:X15)</f>
        <v>177467.2873</v>
      </c>
      <c r="Y16" s="2"/>
      <c r="Z16" s="2"/>
    </row>
    <row r="17">
      <c r="A17" s="17" t="s">
        <v>26</v>
      </c>
      <c r="B17" s="17"/>
      <c r="C17" s="17"/>
      <c r="D17" s="24"/>
      <c r="E17" s="17"/>
      <c r="F17" s="22"/>
      <c r="G17" s="22"/>
      <c r="H17" s="22"/>
      <c r="I17" s="22"/>
      <c r="J17" s="22"/>
      <c r="K17" s="17"/>
      <c r="L17" s="17"/>
      <c r="M17" s="17"/>
      <c r="N17" s="20"/>
      <c r="O17" s="20"/>
      <c r="P17" s="20"/>
      <c r="Q17" s="21"/>
      <c r="R17" s="20"/>
      <c r="S17" s="21"/>
      <c r="T17" s="20"/>
      <c r="U17" s="21"/>
      <c r="V17" s="20"/>
      <c r="W17" s="21"/>
      <c r="X17" s="20"/>
      <c r="Y17" s="2"/>
      <c r="Z17" s="2"/>
    </row>
    <row r="18">
      <c r="A18" s="24" t="s">
        <v>27</v>
      </c>
      <c r="B18" s="17"/>
      <c r="C18" s="17"/>
      <c r="D18" s="24"/>
      <c r="E18" s="17"/>
      <c r="F18" s="22">
        <f t="shared" ref="F18:F19" si="9">SUM(F9*0.45)</f>
        <v>11250</v>
      </c>
      <c r="G18" s="22"/>
      <c r="H18" s="22">
        <f t="shared" ref="H18:H19" si="10">SUM(H9*0.45)</f>
        <v>22500</v>
      </c>
      <c r="I18" s="22"/>
      <c r="J18" s="22">
        <f t="shared" ref="J18:J19" si="11">SUM(J9*0.45)</f>
        <v>23175</v>
      </c>
      <c r="K18" s="17"/>
      <c r="L18" s="22">
        <f t="shared" ref="L18:L20" si="12">SUM(L9*0.45)</f>
        <v>23870.25</v>
      </c>
      <c r="M18" s="17"/>
      <c r="N18" s="23">
        <f t="shared" ref="N18:N20" si="13">SUM(N9*0.45)</f>
        <v>24586.3575</v>
      </c>
      <c r="O18" s="20"/>
      <c r="P18" s="23">
        <f t="shared" ref="P18:P20" si="14">SUM(P9*0.45)</f>
        <v>25323.94823</v>
      </c>
      <c r="Q18" s="21"/>
      <c r="R18" s="23">
        <f t="shared" ref="R18:R20" si="15">SUM(R9*0.45)</f>
        <v>26083.66667</v>
      </c>
      <c r="S18" s="21"/>
      <c r="T18" s="23">
        <f t="shared" ref="T18:T20" si="16">SUM(T9*0.45)</f>
        <v>26866.17667</v>
      </c>
      <c r="U18" s="21"/>
      <c r="V18" s="23">
        <f t="shared" ref="V18:V20" si="17">SUM(V9*0.45)</f>
        <v>27672.16197</v>
      </c>
      <c r="W18" s="21"/>
      <c r="X18" s="23">
        <f t="shared" ref="X18:X20" si="18">SUM(X9*0.45)</f>
        <v>28502.32683</v>
      </c>
      <c r="Y18" s="2"/>
      <c r="Z18" s="2"/>
    </row>
    <row r="19">
      <c r="A19" s="24" t="s">
        <v>28</v>
      </c>
      <c r="B19" s="17"/>
      <c r="C19" s="17"/>
      <c r="D19" s="24"/>
      <c r="E19" s="17"/>
      <c r="F19" s="22">
        <f t="shared" si="9"/>
        <v>6750</v>
      </c>
      <c r="G19" s="22"/>
      <c r="H19" s="22">
        <f t="shared" si="10"/>
        <v>15750</v>
      </c>
      <c r="I19" s="22"/>
      <c r="J19" s="22">
        <f t="shared" si="11"/>
        <v>16222.5</v>
      </c>
      <c r="K19" s="17"/>
      <c r="L19" s="22">
        <f t="shared" si="12"/>
        <v>16709.175</v>
      </c>
      <c r="M19" s="17"/>
      <c r="N19" s="23">
        <f t="shared" si="13"/>
        <v>17210.45025</v>
      </c>
      <c r="O19" s="20"/>
      <c r="P19" s="23">
        <f t="shared" si="14"/>
        <v>17726.76376</v>
      </c>
      <c r="Q19" s="21"/>
      <c r="R19" s="23">
        <f t="shared" si="15"/>
        <v>18258.56667</v>
      </c>
      <c r="S19" s="21"/>
      <c r="T19" s="23">
        <f t="shared" si="16"/>
        <v>18806.32367</v>
      </c>
      <c r="U19" s="21"/>
      <c r="V19" s="23">
        <f t="shared" si="17"/>
        <v>19370.51338</v>
      </c>
      <c r="W19" s="21"/>
      <c r="X19" s="23">
        <f t="shared" si="18"/>
        <v>19951.62878</v>
      </c>
      <c r="Y19" s="2"/>
      <c r="Z19" s="2"/>
    </row>
    <row r="20">
      <c r="A20" s="24" t="s">
        <v>29</v>
      </c>
      <c r="B20" s="17"/>
      <c r="C20" s="17"/>
      <c r="D20" s="24"/>
      <c r="E20" s="17"/>
      <c r="F20" s="22"/>
      <c r="G20" s="22"/>
      <c r="H20" s="22"/>
      <c r="I20" s="22"/>
      <c r="J20" s="22"/>
      <c r="K20" s="17"/>
      <c r="L20" s="22">
        <f t="shared" si="12"/>
        <v>15750</v>
      </c>
      <c r="M20" s="17"/>
      <c r="N20" s="23">
        <f t="shared" si="13"/>
        <v>16222.5</v>
      </c>
      <c r="O20" s="20"/>
      <c r="P20" s="23">
        <f t="shared" si="14"/>
        <v>16709.175</v>
      </c>
      <c r="Q20" s="21"/>
      <c r="R20" s="23">
        <f t="shared" si="15"/>
        <v>17210.45025</v>
      </c>
      <c r="S20" s="21"/>
      <c r="T20" s="23">
        <f t="shared" si="16"/>
        <v>17726.76376</v>
      </c>
      <c r="U20" s="21"/>
      <c r="V20" s="23">
        <f t="shared" si="17"/>
        <v>18258.56667</v>
      </c>
      <c r="W20" s="21"/>
      <c r="X20" s="23">
        <f t="shared" si="18"/>
        <v>18806.32367</v>
      </c>
      <c r="Y20" s="2"/>
      <c r="Z20" s="2"/>
    </row>
    <row r="21">
      <c r="A21" s="17"/>
      <c r="B21" s="17"/>
      <c r="C21" s="17"/>
      <c r="D21" s="24" t="s">
        <v>25</v>
      </c>
      <c r="E21" s="17"/>
      <c r="F21" s="29">
        <f>SUM(F18:F19)</f>
        <v>18000</v>
      </c>
      <c r="G21" s="29"/>
      <c r="H21" s="29">
        <f>SUM(H18:H19)</f>
        <v>38250</v>
      </c>
      <c r="I21" s="29"/>
      <c r="J21" s="29">
        <f>SUM(J18:J19)</f>
        <v>39397.5</v>
      </c>
      <c r="K21" s="24"/>
      <c r="L21" s="29">
        <f>SUM(L18:L20)</f>
        <v>56329.425</v>
      </c>
      <c r="M21" s="17"/>
      <c r="N21" s="30">
        <f>SUM(N18:N20)</f>
        <v>58019.30775</v>
      </c>
      <c r="O21" s="20"/>
      <c r="P21" s="30">
        <f>SUM(P18:P20)</f>
        <v>59759.88698</v>
      </c>
      <c r="Q21" s="21"/>
      <c r="R21" s="30">
        <f>SUM(R18:R20)</f>
        <v>61552.68359</v>
      </c>
      <c r="S21" s="21"/>
      <c r="T21" s="30">
        <f>SUM(T18:T20)</f>
        <v>63399.2641</v>
      </c>
      <c r="U21" s="21"/>
      <c r="V21" s="30">
        <f>SUM(V18:V20)</f>
        <v>65301.24202</v>
      </c>
      <c r="W21" s="21"/>
      <c r="X21" s="30">
        <f>SUM(X18:X20)</f>
        <v>67260.27928</v>
      </c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7"/>
      <c r="B23" s="24" t="s">
        <v>30</v>
      </c>
      <c r="C23" s="17"/>
      <c r="D23" s="31"/>
      <c r="E23" s="17"/>
      <c r="F23" s="29">
        <f>SUM(F16+F21)</f>
        <v>58000</v>
      </c>
      <c r="G23" s="29"/>
      <c r="H23" s="29">
        <f>SUM(H16+H21)</f>
        <v>143250</v>
      </c>
      <c r="I23" s="29"/>
      <c r="J23" s="29">
        <f>SUM(J16+J21)</f>
        <v>146947.5</v>
      </c>
      <c r="K23" s="24"/>
      <c r="L23" s="29">
        <f>SUM(L16+L21)</f>
        <v>201505.925</v>
      </c>
      <c r="M23" s="17"/>
      <c r="N23" s="30">
        <f>SUM(N16+N21)</f>
        <v>211951.1028</v>
      </c>
      <c r="O23" s="20"/>
      <c r="P23" s="30">
        <f>SUM(P16+P21)</f>
        <v>220559.6358</v>
      </c>
      <c r="Q23" s="21"/>
      <c r="R23" s="30">
        <f>SUM(R16+R21)</f>
        <v>226336.4249</v>
      </c>
      <c r="S23" s="21"/>
      <c r="T23" s="30">
        <f>SUM(T16+T21)</f>
        <v>232286.5177</v>
      </c>
      <c r="U23" s="21"/>
      <c r="V23" s="30">
        <f>SUM(V16+V21)</f>
        <v>238415.1132</v>
      </c>
      <c r="W23" s="21"/>
      <c r="X23" s="30">
        <f>SUM(X16+X21)</f>
        <v>244727.5666</v>
      </c>
      <c r="Y23" s="2"/>
      <c r="Z23" s="2"/>
    </row>
    <row r="24" ht="8.2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32"/>
      <c r="O24" s="32"/>
      <c r="P24" s="32"/>
      <c r="Q24" s="21"/>
      <c r="R24" s="20"/>
      <c r="S24" s="21"/>
      <c r="T24" s="20"/>
      <c r="U24" s="21"/>
      <c r="V24" s="20"/>
      <c r="W24" s="21"/>
      <c r="X24" s="20"/>
      <c r="Y24" s="2"/>
      <c r="Z24" s="2"/>
    </row>
    <row r="25" ht="15.75" customHeight="1">
      <c r="A25" s="33" t="s">
        <v>31</v>
      </c>
      <c r="B25" s="34"/>
      <c r="C25" s="34"/>
      <c r="D25" s="34"/>
      <c r="E25" s="34"/>
      <c r="F25" s="35"/>
      <c r="G25" s="35"/>
      <c r="H25" s="35"/>
      <c r="I25" s="35"/>
      <c r="J25" s="35"/>
      <c r="K25" s="34"/>
      <c r="L25" s="34"/>
      <c r="M25" s="34"/>
      <c r="N25" s="20"/>
      <c r="O25" s="20"/>
      <c r="P25" s="20"/>
      <c r="Q25" s="21"/>
      <c r="R25" s="20"/>
      <c r="S25" s="21"/>
      <c r="T25" s="20"/>
      <c r="U25" s="21"/>
      <c r="V25" s="20"/>
      <c r="W25" s="21"/>
      <c r="X25" s="20"/>
      <c r="Y25" s="2"/>
      <c r="Z25" s="2"/>
    </row>
    <row r="26" ht="15.75" customHeight="1">
      <c r="A26" s="34" t="s">
        <v>32</v>
      </c>
      <c r="B26" s="34"/>
      <c r="C26" s="34"/>
      <c r="D26" s="34"/>
      <c r="E26" s="34"/>
      <c r="F26" s="35"/>
      <c r="G26" s="35"/>
      <c r="H26" s="35">
        <v>2000.0</v>
      </c>
      <c r="I26" s="35"/>
      <c r="J26" s="35">
        <v>2000.0</v>
      </c>
      <c r="K26" s="34"/>
      <c r="L26" s="35">
        <v>2000.0</v>
      </c>
      <c r="M26" s="34"/>
      <c r="N26" s="23">
        <v>2000.0</v>
      </c>
      <c r="O26" s="20"/>
      <c r="P26" s="23">
        <v>2000.0</v>
      </c>
      <c r="Q26" s="21"/>
      <c r="R26" s="23">
        <v>2000.0</v>
      </c>
      <c r="S26" s="21"/>
      <c r="T26" s="23">
        <v>2000.0</v>
      </c>
      <c r="U26" s="21"/>
      <c r="V26" s="23">
        <v>2000.0</v>
      </c>
      <c r="W26" s="21"/>
      <c r="X26" s="23">
        <v>2000.0</v>
      </c>
      <c r="Y26" s="2"/>
      <c r="Z26" s="2"/>
    </row>
    <row r="27" ht="15.75" customHeight="1">
      <c r="A27" s="34" t="s">
        <v>33</v>
      </c>
      <c r="B27" s="34"/>
      <c r="C27" s="34"/>
      <c r="D27" s="34"/>
      <c r="E27" s="34"/>
      <c r="F27" s="35">
        <v>2000.0</v>
      </c>
      <c r="G27" s="35"/>
      <c r="H27" s="35">
        <v>2000.0</v>
      </c>
      <c r="I27" s="35"/>
      <c r="J27" s="35">
        <v>2000.0</v>
      </c>
      <c r="K27" s="34"/>
      <c r="L27" s="35">
        <v>2000.0</v>
      </c>
      <c r="M27" s="34"/>
      <c r="N27" s="23">
        <v>2000.0</v>
      </c>
      <c r="O27" s="20"/>
      <c r="P27" s="23">
        <v>2000.0</v>
      </c>
      <c r="Q27" s="21"/>
      <c r="R27" s="23">
        <v>2000.0</v>
      </c>
      <c r="S27" s="21"/>
      <c r="T27" s="23">
        <v>2000.0</v>
      </c>
      <c r="U27" s="21"/>
      <c r="V27" s="23">
        <v>2000.0</v>
      </c>
      <c r="W27" s="21"/>
      <c r="X27" s="23">
        <v>2000.0</v>
      </c>
      <c r="Y27" s="2"/>
      <c r="Z27" s="2"/>
    </row>
    <row r="28" ht="15.75" customHeight="1">
      <c r="A28" s="34" t="s">
        <v>34</v>
      </c>
      <c r="B28" s="34"/>
      <c r="C28" s="34"/>
      <c r="D28" s="34"/>
      <c r="E28" s="34"/>
      <c r="F28" s="35"/>
      <c r="G28" s="35"/>
      <c r="H28" s="35"/>
      <c r="I28" s="35"/>
      <c r="J28" s="35"/>
      <c r="K28" s="34"/>
      <c r="L28" s="35"/>
      <c r="M28" s="34"/>
      <c r="N28" s="23"/>
      <c r="O28" s="20"/>
      <c r="P28" s="23"/>
      <c r="Q28" s="21"/>
      <c r="R28" s="23"/>
      <c r="S28" s="21"/>
      <c r="T28" s="23"/>
      <c r="U28" s="21"/>
      <c r="V28" s="23"/>
      <c r="W28" s="21"/>
      <c r="X28" s="23"/>
      <c r="Y28" s="2"/>
      <c r="Z28" s="2"/>
    </row>
    <row r="29" ht="15.75" customHeight="1">
      <c r="A29" s="34"/>
      <c r="B29" s="36" t="s">
        <v>35</v>
      </c>
      <c r="C29" s="34"/>
      <c r="D29" s="34"/>
      <c r="E29" s="34"/>
      <c r="F29" s="37">
        <f>SUM(F26:F27)</f>
        <v>2000</v>
      </c>
      <c r="G29" s="37"/>
      <c r="H29" s="37">
        <f>SUM(H26:H27)</f>
        <v>4000</v>
      </c>
      <c r="I29" s="37"/>
      <c r="J29" s="37">
        <f>SUM(J26:J27)</f>
        <v>4000</v>
      </c>
      <c r="K29" s="34"/>
      <c r="L29" s="37">
        <f>SUM(L26:L27)</f>
        <v>4000</v>
      </c>
      <c r="M29" s="34"/>
      <c r="N29" s="30">
        <f>SUM(N26:N27)</f>
        <v>4000</v>
      </c>
      <c r="O29" s="20"/>
      <c r="P29" s="30">
        <f>SUM(P26:P27)</f>
        <v>4000</v>
      </c>
      <c r="Q29" s="21"/>
      <c r="R29" s="30">
        <f>SUM(R26:R27)</f>
        <v>4000</v>
      </c>
      <c r="S29" s="21"/>
      <c r="T29" s="30">
        <f>SUM(T26:T27)</f>
        <v>4000</v>
      </c>
      <c r="U29" s="21"/>
      <c r="V29" s="30">
        <f>SUM(V26:V27)</f>
        <v>4000</v>
      </c>
      <c r="W29" s="21"/>
      <c r="X29" s="30">
        <f>SUM(X26:X27)</f>
        <v>4000</v>
      </c>
      <c r="Y29" s="2"/>
      <c r="Z29" s="2"/>
    </row>
    <row r="30" ht="15.75" customHeight="1">
      <c r="A30" s="21"/>
      <c r="B30" s="21"/>
      <c r="C30" s="21"/>
      <c r="D30" s="21"/>
      <c r="E30" s="21"/>
      <c r="F30" s="38"/>
      <c r="G30" s="21"/>
      <c r="H30" s="21"/>
      <c r="I30" s="21"/>
      <c r="J30" s="21"/>
      <c r="K30" s="21"/>
      <c r="L30" s="21"/>
      <c r="M30" s="21"/>
      <c r="N30" s="20"/>
      <c r="O30" s="20"/>
      <c r="P30" s="20"/>
      <c r="Q30" s="21"/>
      <c r="R30" s="20"/>
      <c r="S30" s="21"/>
      <c r="T30" s="20"/>
      <c r="U30" s="21"/>
      <c r="V30" s="20"/>
      <c r="W30" s="21"/>
      <c r="X30" s="20"/>
      <c r="Y30" s="2"/>
      <c r="Z30" s="2"/>
    </row>
    <row r="31" ht="15.75" customHeight="1">
      <c r="A31" s="21"/>
      <c r="B31" s="21"/>
      <c r="C31" s="39"/>
      <c r="D31" s="40" t="s">
        <v>36</v>
      </c>
      <c r="E31" s="39"/>
      <c r="F31" s="41">
        <f>SUM(F23+F29)</f>
        <v>60000</v>
      </c>
      <c r="G31" s="40"/>
      <c r="H31" s="41">
        <f>SUM(H23+H29)</f>
        <v>147250</v>
      </c>
      <c r="I31" s="40"/>
      <c r="J31" s="41">
        <f>SUM(J23+J29)</f>
        <v>150947.5</v>
      </c>
      <c r="K31" s="40"/>
      <c r="L31" s="41">
        <f>SUM(L23+L29)</f>
        <v>205505.925</v>
      </c>
      <c r="M31" s="39"/>
      <c r="N31" s="30">
        <f>SUM(N23+N29)</f>
        <v>215951.1028</v>
      </c>
      <c r="O31" s="20"/>
      <c r="P31" s="30">
        <f>SUM(P23+P29)</f>
        <v>224559.6358</v>
      </c>
      <c r="Q31" s="21"/>
      <c r="R31" s="30">
        <f>SUM(R23+R29)</f>
        <v>230336.4249</v>
      </c>
      <c r="S31" s="21"/>
      <c r="T31" s="30">
        <f>SUM(T23+T29)</f>
        <v>236286.5177</v>
      </c>
      <c r="U31" s="21"/>
      <c r="V31" s="30">
        <f>SUM(V23+V29)</f>
        <v>242415.1132</v>
      </c>
      <c r="W31" s="21"/>
      <c r="X31" s="30">
        <f>SUM(X23+X29)</f>
        <v>248727.5666</v>
      </c>
      <c r="Y31" s="2"/>
      <c r="Z31" s="2"/>
    </row>
    <row r="32" ht="15.75" customHeight="1">
      <c r="A32" s="21"/>
      <c r="B32" s="21"/>
      <c r="C32" s="32"/>
      <c r="D32" s="42"/>
      <c r="E32" s="32"/>
      <c r="F32" s="43"/>
      <c r="G32" s="42"/>
      <c r="H32" s="43"/>
      <c r="I32" s="42"/>
      <c r="J32" s="43"/>
      <c r="K32" s="42"/>
      <c r="L32" s="43"/>
      <c r="M32" s="32"/>
      <c r="N32" s="44"/>
      <c r="O32" s="20"/>
      <c r="P32" s="44"/>
      <c r="Q32" s="21"/>
      <c r="R32" s="44"/>
      <c r="S32" s="21"/>
      <c r="T32" s="44"/>
      <c r="U32" s="21"/>
      <c r="V32" s="44"/>
      <c r="W32" s="21"/>
      <c r="X32" s="44"/>
      <c r="Y32" s="2"/>
      <c r="Z32" s="2"/>
    </row>
    <row r="33" ht="15.75" customHeight="1">
      <c r="A33" s="45" t="s">
        <v>37</v>
      </c>
      <c r="B33" s="45"/>
      <c r="C33" s="46"/>
      <c r="D33" s="47"/>
      <c r="E33" s="46"/>
      <c r="F33" s="48"/>
      <c r="G33" s="47"/>
      <c r="H33" s="48"/>
      <c r="I33" s="47"/>
      <c r="J33" s="48"/>
      <c r="K33" s="47"/>
      <c r="L33" s="48"/>
      <c r="M33" s="49"/>
      <c r="N33" s="50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2"/>
      <c r="Z33" s="2"/>
    </row>
    <row r="34" ht="15.75" customHeight="1">
      <c r="A34" s="2"/>
      <c r="B34" s="2"/>
      <c r="C34" s="52"/>
      <c r="D34" s="53"/>
      <c r="E34" s="52"/>
      <c r="F34" s="54"/>
      <c r="G34" s="53"/>
      <c r="H34" s="54"/>
      <c r="I34" s="53"/>
      <c r="J34" s="54"/>
      <c r="K34" s="53"/>
      <c r="L34" s="54"/>
      <c r="M34" s="52"/>
      <c r="N34" s="5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52"/>
      <c r="D35" s="53"/>
      <c r="E35" s="52"/>
      <c r="F35" s="54"/>
      <c r="G35" s="53"/>
      <c r="H35" s="54"/>
      <c r="I35" s="53"/>
      <c r="J35" s="54"/>
      <c r="K35" s="53"/>
      <c r="L35" s="54"/>
      <c r="M35" s="52"/>
      <c r="N35" s="5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52"/>
      <c r="D36" s="53"/>
      <c r="E36" s="52"/>
      <c r="F36" s="54"/>
      <c r="G36" s="53"/>
      <c r="H36" s="54"/>
      <c r="I36" s="53"/>
      <c r="J36" s="54"/>
      <c r="K36" s="53"/>
      <c r="L36" s="54"/>
      <c r="M36" s="52"/>
      <c r="N36" s="5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0</v>
      </c>
      <c r="B37" s="2"/>
      <c r="C37" s="52"/>
      <c r="D37" s="53"/>
      <c r="E37" s="52"/>
      <c r="F37" s="54"/>
      <c r="G37" s="53"/>
      <c r="H37" s="54"/>
      <c r="I37" s="53"/>
      <c r="J37" s="54"/>
      <c r="K37" s="53"/>
      <c r="L37" s="54"/>
      <c r="M37" s="52"/>
      <c r="N37" s="5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</v>
      </c>
      <c r="B38" s="2"/>
      <c r="C38" s="52"/>
      <c r="D38" s="53"/>
      <c r="E38" s="52"/>
      <c r="F38" s="54"/>
      <c r="G38" s="53"/>
      <c r="H38" s="54"/>
      <c r="I38" s="53"/>
      <c r="J38" s="54"/>
      <c r="K38" s="53"/>
      <c r="L38" s="54"/>
      <c r="M38" s="52"/>
      <c r="N38" s="55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2</v>
      </c>
      <c r="B39" s="2"/>
      <c r="C39" s="52"/>
      <c r="D39" s="53"/>
      <c r="E39" s="52"/>
      <c r="F39" s="54"/>
      <c r="G39" s="53"/>
      <c r="H39" s="54"/>
      <c r="I39" s="53"/>
      <c r="J39" s="54"/>
      <c r="K39" s="53"/>
      <c r="L39" s="54"/>
      <c r="M39" s="52"/>
      <c r="N39" s="55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 t="s">
        <v>38</v>
      </c>
    </row>
    <row r="40" ht="15.75" customHeight="1">
      <c r="A40" s="56" t="s">
        <v>39</v>
      </c>
      <c r="B40" s="2"/>
      <c r="C40" s="52"/>
      <c r="D40" s="53"/>
      <c r="E40" s="52"/>
      <c r="F40" s="54"/>
      <c r="G40" s="53"/>
      <c r="H40" s="54"/>
      <c r="I40" s="53"/>
      <c r="J40" s="54"/>
      <c r="K40" s="53"/>
      <c r="L40" s="54"/>
      <c r="M40" s="52"/>
      <c r="N40" s="55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52"/>
      <c r="D41" s="53"/>
      <c r="E41" s="52"/>
      <c r="F41" s="54"/>
      <c r="G41" s="53"/>
      <c r="H41" s="54"/>
      <c r="I41" s="53"/>
      <c r="J41" s="54"/>
      <c r="K41" s="53"/>
      <c r="L41" s="54"/>
      <c r="M41" s="52"/>
      <c r="N41" s="5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57"/>
      <c r="B42" s="2"/>
      <c r="C42" s="52"/>
      <c r="D42" s="53"/>
      <c r="E42" s="52"/>
      <c r="F42" s="54"/>
      <c r="G42" s="53"/>
      <c r="H42" s="54"/>
      <c r="I42" s="53"/>
      <c r="J42" s="54"/>
      <c r="K42" s="53"/>
      <c r="L42" s="54"/>
      <c r="M42" s="52"/>
      <c r="N42" s="55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58" t="s">
        <v>40</v>
      </c>
      <c r="B43" s="7"/>
      <c r="C43" s="52"/>
      <c r="D43" s="52" t="s">
        <v>41</v>
      </c>
      <c r="E43" s="5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52"/>
      <c r="X43" s="52"/>
      <c r="Y43" s="2"/>
      <c r="Z43" s="2"/>
    </row>
    <row r="44" ht="15.75" customHeight="1">
      <c r="A44" s="59" t="s">
        <v>42</v>
      </c>
      <c r="B44" s="60"/>
      <c r="C44" s="60"/>
      <c r="D44" s="61"/>
      <c r="E44" s="62"/>
      <c r="F44" s="63" t="s">
        <v>43</v>
      </c>
      <c r="G44" s="62"/>
      <c r="H44" s="64" t="s">
        <v>10</v>
      </c>
      <c r="I44" s="64"/>
      <c r="J44" s="65" t="s">
        <v>11</v>
      </c>
      <c r="K44" s="65"/>
      <c r="L44" s="65" t="s">
        <v>12</v>
      </c>
      <c r="M44" s="64"/>
      <c r="N44" s="66" t="s">
        <v>13</v>
      </c>
      <c r="O44" s="67"/>
      <c r="P44" s="68" t="s">
        <v>14</v>
      </c>
      <c r="Q44" s="62"/>
      <c r="R44" s="68" t="s">
        <v>15</v>
      </c>
      <c r="S44" s="62"/>
      <c r="T44" s="68" t="s">
        <v>16</v>
      </c>
      <c r="U44" s="62"/>
      <c r="V44" s="68" t="s">
        <v>17</v>
      </c>
      <c r="W44" s="62"/>
      <c r="X44" s="68" t="s">
        <v>18</v>
      </c>
      <c r="Y44" s="2"/>
      <c r="Z44" s="2"/>
    </row>
    <row r="45" ht="15.75" customHeight="1">
      <c r="A45" s="69" t="s">
        <v>44</v>
      </c>
      <c r="B45" s="60"/>
      <c r="C45" s="60"/>
      <c r="D45" s="60"/>
      <c r="E45" s="61"/>
      <c r="F45" s="70" t="s">
        <v>9</v>
      </c>
      <c r="G45" s="32"/>
      <c r="H45" s="71" t="s">
        <v>45</v>
      </c>
      <c r="I45" s="71"/>
      <c r="J45" s="71" t="s">
        <v>45</v>
      </c>
      <c r="K45" s="71"/>
      <c r="L45" s="71" t="s">
        <v>45</v>
      </c>
      <c r="M45" s="71"/>
      <c r="N45" s="19" t="s">
        <v>45</v>
      </c>
      <c r="O45" s="19"/>
      <c r="P45" s="19" t="s">
        <v>45</v>
      </c>
      <c r="Q45" s="32"/>
      <c r="R45" s="19" t="s">
        <v>45</v>
      </c>
      <c r="S45" s="32"/>
      <c r="T45" s="19" t="s">
        <v>45</v>
      </c>
      <c r="U45" s="32"/>
      <c r="V45" s="19" t="s">
        <v>45</v>
      </c>
      <c r="W45" s="32"/>
      <c r="X45" s="19" t="s">
        <v>45</v>
      </c>
      <c r="Y45" s="2"/>
      <c r="Z45" s="2"/>
    </row>
    <row r="46" ht="15.75" customHeight="1">
      <c r="A46" s="32" t="s">
        <v>46</v>
      </c>
      <c r="B46" s="32"/>
      <c r="C46" s="32"/>
      <c r="D46" s="32"/>
      <c r="E46" s="32"/>
      <c r="F46" s="32"/>
      <c r="G46" s="32"/>
      <c r="H46" s="32">
        <v>4.0</v>
      </c>
      <c r="I46" s="32"/>
      <c r="J46" s="32">
        <v>10.0</v>
      </c>
      <c r="K46" s="32"/>
      <c r="L46" s="32">
        <v>15.0</v>
      </c>
      <c r="M46" s="32"/>
      <c r="N46" s="20">
        <v>20.0</v>
      </c>
      <c r="O46" s="20"/>
      <c r="P46" s="20">
        <v>24.0</v>
      </c>
      <c r="Q46" s="32"/>
      <c r="R46" s="20">
        <v>24.0</v>
      </c>
      <c r="S46" s="32"/>
      <c r="T46" s="20">
        <v>24.0</v>
      </c>
      <c r="U46" s="32"/>
      <c r="V46" s="20">
        <v>24.0</v>
      </c>
      <c r="W46" s="32"/>
      <c r="X46" s="20">
        <v>24.0</v>
      </c>
      <c r="Y46" s="2"/>
      <c r="Z46" s="2"/>
    </row>
    <row r="47" ht="15.75" customHeight="1">
      <c r="A47" s="42" t="s">
        <v>47</v>
      </c>
      <c r="B47" s="32"/>
      <c r="C47" s="32"/>
      <c r="D47" s="32"/>
      <c r="E47" s="32"/>
      <c r="F47" s="32"/>
      <c r="G47" s="32"/>
      <c r="H47" s="72"/>
      <c r="I47" s="72"/>
      <c r="J47" s="72"/>
      <c r="K47" s="72"/>
      <c r="L47" s="72"/>
      <c r="M47" s="73"/>
      <c r="N47" s="74"/>
      <c r="O47" s="20"/>
      <c r="P47" s="74" t="s">
        <v>48</v>
      </c>
      <c r="Q47" s="32"/>
      <c r="R47" s="74" t="s">
        <v>49</v>
      </c>
      <c r="S47" s="32"/>
      <c r="T47" s="74" t="s">
        <v>49</v>
      </c>
      <c r="U47" s="32"/>
      <c r="V47" s="74" t="s">
        <v>49</v>
      </c>
      <c r="W47" s="32"/>
      <c r="X47" s="74" t="s">
        <v>49</v>
      </c>
      <c r="Y47" s="2"/>
      <c r="Z47" s="2"/>
    </row>
    <row r="48" ht="15.75" customHeight="1">
      <c r="A48" s="75">
        <v>10000.0</v>
      </c>
      <c r="B48" s="32" t="s">
        <v>50</v>
      </c>
      <c r="C48" s="32"/>
      <c r="D48" s="32"/>
      <c r="E48" s="32"/>
      <c r="F48" s="32"/>
      <c r="G48" s="32"/>
      <c r="H48" s="73">
        <f>SUM(H46*A48)</f>
        <v>40000</v>
      </c>
      <c r="I48" s="73"/>
      <c r="J48" s="73">
        <f>SUM(J46*A48)</f>
        <v>100000</v>
      </c>
      <c r="K48" s="73"/>
      <c r="L48" s="73">
        <f>SUM(L46*A48)</f>
        <v>150000</v>
      </c>
      <c r="M48" s="73"/>
      <c r="N48" s="23">
        <f>SUM(N46*A48)</f>
        <v>200000</v>
      </c>
      <c r="O48" s="20"/>
      <c r="P48" s="23">
        <f>SUM(P46*A48)</f>
        <v>240000</v>
      </c>
      <c r="Q48" s="32"/>
      <c r="R48" s="23">
        <f>SUM(R46*A48)</f>
        <v>240000</v>
      </c>
      <c r="S48" s="32"/>
      <c r="T48" s="23">
        <f>SUM(T46*A48)</f>
        <v>240000</v>
      </c>
      <c r="U48" s="32"/>
      <c r="V48" s="23">
        <f>SUM(V46*A48)</f>
        <v>240000</v>
      </c>
      <c r="W48" s="32"/>
      <c r="X48" s="23">
        <f>SUM(X46*A48)</f>
        <v>240000</v>
      </c>
      <c r="Y48" s="2"/>
      <c r="Z48" s="2"/>
    </row>
    <row r="49" ht="15.75" customHeight="1">
      <c r="A49" s="76">
        <v>12000.0</v>
      </c>
      <c r="B49" s="77" t="s">
        <v>51</v>
      </c>
      <c r="C49" s="77"/>
      <c r="D49" s="77"/>
      <c r="E49" s="77"/>
      <c r="F49" s="77"/>
      <c r="G49" s="77"/>
      <c r="H49" s="78">
        <f>SUM(H46*A49)</f>
        <v>48000</v>
      </c>
      <c r="I49" s="78"/>
      <c r="J49" s="78">
        <f>SUM(J46*A49)</f>
        <v>120000</v>
      </c>
      <c r="K49" s="78"/>
      <c r="L49" s="78">
        <f>SUM(L46*A49)</f>
        <v>180000</v>
      </c>
      <c r="M49" s="73"/>
      <c r="N49" s="23">
        <f>SUM(N46*A49)</f>
        <v>240000</v>
      </c>
      <c r="O49" s="20"/>
      <c r="P49" s="23">
        <f>SUM(P46*A49)</f>
        <v>288000</v>
      </c>
      <c r="Q49" s="32"/>
      <c r="R49" s="23">
        <f>SUM(R46*A49)</f>
        <v>288000</v>
      </c>
      <c r="S49" s="32"/>
      <c r="T49" s="23">
        <f>SUM(T46*A49)</f>
        <v>288000</v>
      </c>
      <c r="U49" s="32"/>
      <c r="V49" s="23">
        <f>SUM(V46*A49)</f>
        <v>288000</v>
      </c>
      <c r="W49" s="32"/>
      <c r="X49" s="23">
        <f>SUM(X46*A49)</f>
        <v>288000</v>
      </c>
      <c r="Y49" s="2"/>
      <c r="Z49" s="2"/>
    </row>
    <row r="50" ht="15.75" customHeight="1">
      <c r="A50" s="32"/>
      <c r="B50" s="32"/>
      <c r="C50" s="32"/>
      <c r="D50" s="32"/>
      <c r="E50" s="32"/>
      <c r="F50" s="32"/>
      <c r="G50" s="32"/>
      <c r="H50" s="2"/>
      <c r="I50" s="73"/>
      <c r="J50" s="73"/>
      <c r="K50" s="73"/>
      <c r="L50" s="73"/>
      <c r="M50" s="73"/>
      <c r="N50" s="23"/>
      <c r="O50" s="20"/>
      <c r="P50" s="23"/>
      <c r="Q50" s="32"/>
      <c r="R50" s="23" t="s">
        <v>41</v>
      </c>
      <c r="S50" s="32"/>
      <c r="T50" s="23"/>
      <c r="U50" s="32"/>
      <c r="V50" s="23"/>
      <c r="W50" s="32"/>
      <c r="X50" s="23"/>
      <c r="Y50" s="2" t="s">
        <v>41</v>
      </c>
      <c r="Z50" s="2"/>
    </row>
    <row r="51" ht="15.75" customHeight="1">
      <c r="A51" s="75"/>
      <c r="B51" s="32"/>
      <c r="C51" s="32"/>
      <c r="D51" s="32"/>
      <c r="E51" s="32"/>
      <c r="F51" s="32"/>
      <c r="G51" s="32"/>
      <c r="H51" s="32"/>
      <c r="I51" s="32"/>
      <c r="J51" s="32" t="s">
        <v>41</v>
      </c>
      <c r="K51" s="32"/>
      <c r="L51" s="32"/>
      <c r="M51" s="32"/>
      <c r="N51" s="20"/>
      <c r="O51" s="20"/>
      <c r="P51" s="20"/>
      <c r="Q51" s="75"/>
      <c r="R51" s="20"/>
      <c r="S51" s="32"/>
      <c r="T51" s="20"/>
      <c r="U51" s="32"/>
      <c r="V51" s="20"/>
      <c r="W51" s="32"/>
      <c r="X51" s="20"/>
      <c r="Y51" s="2"/>
      <c r="Z51" s="2"/>
    </row>
    <row r="52" ht="8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20"/>
      <c r="O52" s="20"/>
      <c r="P52" s="20"/>
      <c r="Q52" s="32"/>
      <c r="R52" s="20"/>
      <c r="S52" s="32"/>
      <c r="T52" s="20"/>
      <c r="U52" s="32"/>
      <c r="V52" s="20"/>
      <c r="W52" s="32"/>
      <c r="X52" s="20"/>
      <c r="Y52" s="2" t="s">
        <v>41</v>
      </c>
      <c r="Z52" s="2"/>
    </row>
    <row r="53" ht="15.75" customHeight="1">
      <c r="A53" s="32"/>
      <c r="B53" s="79" t="s">
        <v>25</v>
      </c>
      <c r="C53" s="32"/>
      <c r="D53" s="32"/>
      <c r="E53" s="32"/>
      <c r="F53" s="32"/>
      <c r="G53" s="32"/>
      <c r="H53" s="80">
        <f>SUM(H48:H49)</f>
        <v>88000</v>
      </c>
      <c r="I53" s="32"/>
      <c r="J53" s="80">
        <f>SUM(J48:J50)</f>
        <v>220000</v>
      </c>
      <c r="K53" s="32"/>
      <c r="L53" s="80">
        <f>SUM(L48:L50)</f>
        <v>330000</v>
      </c>
      <c r="M53" s="32"/>
      <c r="N53" s="81">
        <f>SUM(N48:N50)</f>
        <v>440000</v>
      </c>
      <c r="O53" s="20"/>
      <c r="P53" s="81">
        <f>SUM(P48:P50)</f>
        <v>528000</v>
      </c>
      <c r="Q53" s="32"/>
      <c r="R53" s="81">
        <f>SUM(R48:R50)</f>
        <v>528000</v>
      </c>
      <c r="S53" s="32"/>
      <c r="T53" s="81">
        <f>SUM(T48:T50)</f>
        <v>528000</v>
      </c>
      <c r="U53" s="32"/>
      <c r="V53" s="81">
        <f>SUM(V48:V50)</f>
        <v>528000</v>
      </c>
      <c r="W53" s="32"/>
      <c r="X53" s="81">
        <f>SUM(X48:X50)</f>
        <v>528000</v>
      </c>
      <c r="Y53" s="2"/>
      <c r="Z53" s="2"/>
    </row>
    <row r="54" ht="15.75" customHeight="1">
      <c r="A54" s="82" t="s">
        <v>52</v>
      </c>
      <c r="B54" s="79"/>
      <c r="C54" s="32"/>
      <c r="D54" s="32"/>
      <c r="E54" s="32"/>
      <c r="F54" s="32"/>
      <c r="G54" s="32"/>
      <c r="H54" s="80"/>
      <c r="I54" s="32"/>
      <c r="J54" s="80" t="s">
        <v>41</v>
      </c>
      <c r="K54" s="32"/>
      <c r="L54" s="80"/>
      <c r="M54" s="32"/>
      <c r="N54" s="81"/>
      <c r="O54" s="20"/>
      <c r="P54" s="44"/>
      <c r="Q54" s="32"/>
      <c r="R54" s="44"/>
      <c r="S54" s="32"/>
      <c r="T54" s="44"/>
      <c r="U54" s="32"/>
      <c r="V54" s="44"/>
      <c r="W54" s="32"/>
      <c r="X54" s="44"/>
      <c r="Y54" s="2"/>
      <c r="Z54" s="2"/>
    </row>
    <row r="55" ht="15.75" customHeight="1">
      <c r="A55" s="42" t="s">
        <v>53</v>
      </c>
      <c r="B55" s="79"/>
      <c r="C55" s="83" t="s">
        <v>54</v>
      </c>
      <c r="D55" s="43">
        <f>SUM(F55:L55)</f>
        <v>300000</v>
      </c>
      <c r="E55" s="32"/>
      <c r="F55" s="80">
        <v>85000.0</v>
      </c>
      <c r="G55" s="32"/>
      <c r="H55" s="80">
        <v>85000.0</v>
      </c>
      <c r="I55" s="32"/>
      <c r="J55" s="80">
        <v>85000.0</v>
      </c>
      <c r="K55" s="32"/>
      <c r="L55" s="80">
        <v>45000.0</v>
      </c>
      <c r="M55" s="32"/>
      <c r="N55" s="81">
        <v>0.0</v>
      </c>
      <c r="O55" s="20"/>
      <c r="P55" s="81">
        <v>0.0</v>
      </c>
      <c r="Q55" s="32"/>
      <c r="R55" s="20">
        <v>0.0</v>
      </c>
      <c r="S55" s="32"/>
      <c r="T55" s="20">
        <v>0.0</v>
      </c>
      <c r="U55" s="32"/>
      <c r="V55" s="20">
        <v>0.0</v>
      </c>
      <c r="W55" s="32"/>
      <c r="X55" s="20">
        <v>0.0</v>
      </c>
      <c r="Y55" s="2"/>
      <c r="Z55" s="2"/>
    </row>
    <row r="56" ht="15.75" customHeight="1">
      <c r="A56" s="84" t="s">
        <v>55</v>
      </c>
      <c r="B56" s="79"/>
      <c r="C56" s="32"/>
      <c r="D56" s="32"/>
      <c r="E56" s="32"/>
      <c r="F56" s="85">
        <v>0.0</v>
      </c>
      <c r="G56" s="32"/>
      <c r="H56" s="73">
        <f>(H48)</f>
        <v>40000</v>
      </c>
      <c r="I56" s="73"/>
      <c r="J56" s="73">
        <f>(J48)</f>
        <v>100000</v>
      </c>
      <c r="K56" s="73"/>
      <c r="L56" s="73">
        <f>(L48)</f>
        <v>150000</v>
      </c>
      <c r="M56" s="73"/>
      <c r="N56" s="23">
        <f>(N48)</f>
        <v>200000</v>
      </c>
      <c r="O56" s="20"/>
      <c r="P56" s="23">
        <f>(P48)</f>
        <v>240000</v>
      </c>
      <c r="Q56" s="32"/>
      <c r="R56" s="23">
        <f>(R48)</f>
        <v>240000</v>
      </c>
      <c r="S56" s="32"/>
      <c r="T56" s="23">
        <f>(T48)</f>
        <v>240000</v>
      </c>
      <c r="U56" s="32"/>
      <c r="V56" s="23">
        <f>(V48)</f>
        <v>240000</v>
      </c>
      <c r="W56" s="32"/>
      <c r="X56" s="23">
        <f>(X48)</f>
        <v>240000</v>
      </c>
      <c r="Y56" s="2"/>
      <c r="Z56" s="2"/>
    </row>
    <row r="57" ht="15.75" customHeight="1">
      <c r="A57" s="40" t="s">
        <v>56</v>
      </c>
      <c r="B57" s="86"/>
      <c r="C57" s="39"/>
      <c r="D57" s="39"/>
      <c r="E57" s="39"/>
      <c r="F57" s="87">
        <f>SUM(F55)</f>
        <v>85000</v>
      </c>
      <c r="G57" s="39"/>
      <c r="H57" s="87">
        <f>SUM(H55:H56)</f>
        <v>125000</v>
      </c>
      <c r="I57" s="39"/>
      <c r="J57" s="87">
        <f>SUM(J55:J56)</f>
        <v>185000</v>
      </c>
      <c r="K57" s="87"/>
      <c r="L57" s="87">
        <f>SUM(L55:L56)</f>
        <v>195000</v>
      </c>
      <c r="M57" s="87"/>
      <c r="N57" s="81">
        <f>SUM(N55:N56)</f>
        <v>200000</v>
      </c>
      <c r="O57" s="81"/>
      <c r="P57" s="81">
        <f>SUM(P55:P56)</f>
        <v>240000</v>
      </c>
      <c r="Q57" s="32" t="s">
        <v>41</v>
      </c>
      <c r="R57" s="81">
        <f>SUM(R55:R56)</f>
        <v>240000</v>
      </c>
      <c r="S57" s="32"/>
      <c r="T57" s="81">
        <f>SUM(T55:T56)</f>
        <v>240000</v>
      </c>
      <c r="U57" s="32"/>
      <c r="V57" s="81">
        <f>SUM(V55:V56)</f>
        <v>240000</v>
      </c>
      <c r="W57" s="32"/>
      <c r="X57" s="81">
        <f>SUM(X55:X56)</f>
        <v>240000</v>
      </c>
      <c r="Y57" s="2"/>
      <c r="Z57" s="2"/>
    </row>
    <row r="58" ht="8.25" customHeight="1">
      <c r="A58" s="32"/>
      <c r="B58" s="79"/>
      <c r="C58" s="32"/>
      <c r="D58" s="32"/>
      <c r="E58" s="32"/>
      <c r="F58" s="80"/>
      <c r="G58" s="32"/>
      <c r="H58" s="80"/>
      <c r="I58" s="32"/>
      <c r="J58" s="80"/>
      <c r="K58" s="32"/>
      <c r="L58" s="80"/>
      <c r="M58" s="32"/>
      <c r="N58" s="44" t="s">
        <v>41</v>
      </c>
      <c r="O58" s="20"/>
      <c r="P58" s="20"/>
      <c r="Q58" s="32"/>
      <c r="R58" s="20"/>
      <c r="S58" s="32"/>
      <c r="T58" s="20"/>
      <c r="U58" s="32"/>
      <c r="V58" s="20"/>
      <c r="W58" s="32"/>
      <c r="X58" s="20"/>
      <c r="Y58" s="2"/>
      <c r="Z58" s="2"/>
    </row>
    <row r="59" ht="15.75" customHeight="1">
      <c r="A59" s="24" t="s">
        <v>57</v>
      </c>
      <c r="B59" s="17" t="s">
        <v>58</v>
      </c>
      <c r="C59" s="17"/>
      <c r="D59" s="17"/>
      <c r="E59" s="17"/>
      <c r="F59" s="29">
        <f>(F31)</f>
        <v>60000</v>
      </c>
      <c r="G59" s="24"/>
      <c r="H59" s="29">
        <f>(H31)</f>
        <v>147250</v>
      </c>
      <c r="I59" s="24"/>
      <c r="J59" s="29">
        <f>(J31)</f>
        <v>150947.5</v>
      </c>
      <c r="K59" s="24"/>
      <c r="L59" s="29">
        <f>(L31)</f>
        <v>205505.925</v>
      </c>
      <c r="M59" s="24"/>
      <c r="N59" s="30">
        <f>(N31)</f>
        <v>215951.1028</v>
      </c>
      <c r="O59" s="88"/>
      <c r="P59" s="30">
        <f>(P31)</f>
        <v>224559.6358</v>
      </c>
      <c r="Q59" s="42"/>
      <c r="R59" s="30">
        <f>(R31)</f>
        <v>230336.4249</v>
      </c>
      <c r="S59" s="89"/>
      <c r="T59" s="30">
        <f>(T31)</f>
        <v>236286.5177</v>
      </c>
      <c r="U59" s="89"/>
      <c r="V59" s="30">
        <f>(V31)</f>
        <v>242415.1132</v>
      </c>
      <c r="W59" s="89"/>
      <c r="X59" s="30">
        <f>(X31)</f>
        <v>248727.5666</v>
      </c>
      <c r="Y59" s="2"/>
      <c r="Z59" s="2"/>
    </row>
    <row r="60" ht="15.75" customHeight="1">
      <c r="A60" s="42" t="s">
        <v>59</v>
      </c>
      <c r="B60" s="32"/>
      <c r="C60" s="32"/>
      <c r="D60" s="32"/>
      <c r="E60" s="32"/>
      <c r="F60" s="43">
        <f>SUM(F57-F59)</f>
        <v>25000</v>
      </c>
      <c r="G60" s="42"/>
      <c r="H60" s="43">
        <f>SUM(H57-H59)</f>
        <v>-22250</v>
      </c>
      <c r="I60" s="43"/>
      <c r="J60" s="43">
        <f>SUM(J57-J59)</f>
        <v>34052.5</v>
      </c>
      <c r="K60" s="43"/>
      <c r="L60" s="43">
        <f>SUM(L57-L59)</f>
        <v>-10505.925</v>
      </c>
      <c r="M60" s="43"/>
      <c r="N60" s="30">
        <f>SUM(N57-N59)</f>
        <v>-15951.10275</v>
      </c>
      <c r="O60" s="30"/>
      <c r="P60" s="30">
        <f>SUM(P57-P59)</f>
        <v>15440.36417</v>
      </c>
      <c r="Q60" s="43"/>
      <c r="R60" s="30">
        <f>SUM(R57-R59)</f>
        <v>9663.575093</v>
      </c>
      <c r="S60" s="89"/>
      <c r="T60" s="30">
        <f>SUM(T57-T59)</f>
        <v>3713.482345</v>
      </c>
      <c r="U60" s="89"/>
      <c r="V60" s="30">
        <f>SUM(V57-V59)</f>
        <v>-2415.113184</v>
      </c>
      <c r="W60" s="89"/>
      <c r="X60" s="30">
        <f>SUM(X57-X59)</f>
        <v>-8727.56658</v>
      </c>
      <c r="Y60" s="2"/>
      <c r="Z60" s="2"/>
    </row>
    <row r="61" ht="15.75" customHeight="1">
      <c r="A61" s="90" t="s">
        <v>60</v>
      </c>
      <c r="B61" s="90"/>
      <c r="C61" s="90"/>
      <c r="D61" s="90"/>
      <c r="E61" s="90"/>
      <c r="F61" s="91">
        <f>SUM(F60)</f>
        <v>25000</v>
      </c>
      <c r="G61" s="90"/>
      <c r="H61" s="91">
        <f>SUM(F61+H60)</f>
        <v>2750</v>
      </c>
      <c r="I61" s="90"/>
      <c r="J61" s="91">
        <f>SUM(H61+J60)</f>
        <v>36802.5</v>
      </c>
      <c r="K61" s="90"/>
      <c r="L61" s="91">
        <f>SUM(J61+L60)</f>
        <v>26296.575</v>
      </c>
      <c r="M61" s="90"/>
      <c r="N61" s="30">
        <f>SUM(L61+N60)</f>
        <v>10345.47225</v>
      </c>
      <c r="O61" s="88"/>
      <c r="P61" s="30">
        <f>SUM(N61+P60)</f>
        <v>25785.83642</v>
      </c>
      <c r="Q61" s="42"/>
      <c r="R61" s="30">
        <f>SUM(P61+R60)</f>
        <v>35449.41151</v>
      </c>
      <c r="S61" s="89"/>
      <c r="T61" s="30">
        <f>SUM(R61+T60)</f>
        <v>39162.89386</v>
      </c>
      <c r="U61" s="89"/>
      <c r="V61" s="30">
        <f>SUM(T61+V60)</f>
        <v>36747.78067</v>
      </c>
      <c r="W61" s="89"/>
      <c r="X61" s="30">
        <f>SUM(V61+X60)</f>
        <v>28020.21409</v>
      </c>
      <c r="Y61" s="2"/>
      <c r="Z61" s="2"/>
    </row>
    <row r="62" ht="16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2"/>
      <c r="Z62" s="2"/>
    </row>
    <row r="63" ht="15.75" customHeight="1">
      <c r="A63" s="92"/>
      <c r="B63" s="92"/>
      <c r="C63" s="9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 t="s">
        <v>41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92"/>
      <c r="B65" s="9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92"/>
      <c r="B66" s="9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52"/>
      <c r="D67" s="53"/>
      <c r="E67" s="52"/>
      <c r="F67" s="54"/>
      <c r="G67" s="53"/>
      <c r="H67" s="54"/>
      <c r="I67" s="53"/>
      <c r="J67" s="54"/>
      <c r="K67" s="53"/>
      <c r="L67" s="54"/>
      <c r="M67" s="52"/>
      <c r="N67" s="5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A44:D44"/>
    <mergeCell ref="A45:E4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