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F0\EXCELCNV\4ef49c3c-ce08-4156-bb5d-a18ab842889a\"/>
    </mc:Choice>
  </mc:AlternateContent>
  <xr:revisionPtr revIDLastSave="571" documentId="8_{5615405B-8A89-46AB-AE9A-5DF92AE7A9F5}" xr6:coauthVersionLast="47" xr6:coauthVersionMax="47" xr10:uidLastSave="{70174BD6-1547-4333-8E91-6A4A46F3FB62}"/>
  <bookViews>
    <workbookView xWindow="-60" yWindow="-60" windowWidth="15480" windowHeight="11640" firstSheet="1" xr2:uid="{9BC95DFB-4C55-4373-A754-563AC4445A55}"/>
  </bookViews>
  <sheets>
    <sheet name="i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E29" i="2"/>
  <c r="E28" i="2"/>
  <c r="T45" i="1"/>
  <c r="Q45" i="1"/>
  <c r="K45" i="1"/>
</calcChain>
</file>

<file path=xl/sharedStrings.xml><?xml version="1.0" encoding="utf-8"?>
<sst xmlns="http://schemas.openxmlformats.org/spreadsheetml/2006/main" count="715" uniqueCount="51">
  <si>
    <t>Number</t>
  </si>
  <si>
    <t>Q64</t>
  </si>
  <si>
    <t>Q3_1</t>
  </si>
  <si>
    <t>Q3_2</t>
  </si>
  <si>
    <t>Q3_3</t>
  </si>
  <si>
    <t>Q6_1</t>
  </si>
  <si>
    <t>Q6_2</t>
  </si>
  <si>
    <t>Q6_3</t>
  </si>
  <si>
    <t>Q6_4</t>
  </si>
  <si>
    <t>Q6_5</t>
  </si>
  <si>
    <t>Q6_6</t>
  </si>
  <si>
    <t>Q9_1</t>
  </si>
  <si>
    <t>Q9_2</t>
  </si>
  <si>
    <t>Q9_3</t>
  </si>
  <si>
    <t>Q9_4</t>
  </si>
  <si>
    <t>Q9_5</t>
  </si>
  <si>
    <t>Q9_6</t>
  </si>
  <si>
    <t>Q12_1</t>
  </si>
  <si>
    <t>Q12_2</t>
  </si>
  <si>
    <t>Q12_3</t>
  </si>
  <si>
    <t>SC0</t>
  </si>
  <si>
    <t xml:space="preserve"> </t>
  </si>
  <si>
    <t>Please tell us which of the following titles best describes your role at your provider organization.</t>
  </si>
  <si>
    <t>Part 1: Organizational Values
My organization... - Makes sure all working-age individuals have opportunities to explore employment</t>
  </si>
  <si>
    <t>Part 1: Organizational Values
My organization... - Ensures families are aware of the organization's emphasis on individualized, person-centered, community-based supports</t>
  </si>
  <si>
    <t>Part 1: Organizational Values
My organization... - Ensures all staff are aware of the organization's emphasis on individualized, person-centered, community-based supports</t>
  </si>
  <si>
    <t>Part 2: Person-centered supports
My organization... - Offers training to staff in person-centered planning or thinking approaches</t>
  </si>
  <si>
    <t>Part 2: Person-centered supports
My organization... - Engages the individual throughout the person centered planning process</t>
  </si>
  <si>
    <t>Part 2: Person-centered supports
My organization... - Offers training to individuals on self-advocacy and self-determination skills</t>
  </si>
  <si>
    <t>Part 2: Person-centered supports
My organization... - Frequently reviews and updates each individual's person centered plan</t>
  </si>
  <si>
    <t>Part 2: Person-centered supports
My organization... - Supports individuals to develop and plan for life goals (e.g., employment, education, physical fitness, connecting with family and friends, hobbies)</t>
  </si>
  <si>
    <t>Part 2: Person-centered supports
My organization... - Is aware of and responsive to individual's cultural background (race, ethnicity, religion, language, age, sexual orientation, etc.)</t>
  </si>
  <si>
    <t>Part 3: Social and Community Connections
My organization... - Provides training to staff on how to identify and build natural supports</t>
  </si>
  <si>
    <t>Part 3: Social and Community Connections
My organization... - Emphasizes building networks of support from family, friends and community</t>
  </si>
  <si>
    <t>Part 3: Social and Community Connections
My organization... - Trains staff on how to minimize their presence in order to encourage natural interactions.</t>
  </si>
  <si>
    <t>Part 3: Social and Community Connections
My organization... - Supports individuals to form friendships with people outside the IDD system</t>
  </si>
  <si>
    <t>Part 3: Social and Community Connections
My organization... - Gives individuals a say about which peers they spend their time with</t>
  </si>
  <si>
    <t>Part 3: Social and Community Connections
My organization... - Tailors community participation to the individuals desired level of social interaction</t>
  </si>
  <si>
    <t>Part 4: Continuous Quality Improvement
My organization... - Collects feedback from individuals on whether they are supported to achieve the goals they set for themselves</t>
  </si>
  <si>
    <t>Part 4: Continuous Quality Improvement
My organization... - Regularly reviews data and feedback collected and uses them to improve supports at the individual level</t>
  </si>
  <si>
    <t>Part 4: Continuous Quality Improvement
My organization... - Regularly reviews data and feedback collected and uses them to improve supports at the organizational level</t>
  </si>
  <si>
    <t>Total for part 1</t>
  </si>
  <si>
    <t>Direct Support Professional</t>
  </si>
  <si>
    <t>Strongly Disagree(1)</t>
  </si>
  <si>
    <t>Strongly Agree(5)</t>
  </si>
  <si>
    <t>Neither Disagree nor Agree(3)</t>
  </si>
  <si>
    <t>Agree(4)</t>
  </si>
  <si>
    <t>Disagree(2)</t>
  </si>
  <si>
    <t>Middle Management/Supervisor</t>
  </si>
  <si>
    <t>Administrative/Executive</t>
  </si>
  <si>
    <t>Total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</si>
</sst>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0" fontId="16" fillId="33" borderId="0" xfId="0" applyFont="1" applyFill="1"/>
    <xf numFmtId="0" fontId="18" fillId="34" borderId="0" xfId="0" applyFont="1" applyFill="1"/>
    <xf numFmtId="0" fontId="19" fillId="35" borderId="0" xfId="0" applyFont="1" applyFill="1"/>
    <xf numFmtId="0" fontId="0" fillId="35" borderId="0" xfId="0" applyFill="1"/>
    <xf numFmtId="0" fontId="0" fillId="34" borderId="0" xfId="0" applyFill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CF5E-7924-41FF-B0FE-456183520658}">
  <dimension ref="A1:U52"/>
  <sheetViews>
    <sheetView tabSelected="1" workbookViewId="0">
      <pane ySplit="2" topLeftCell="C36" activePane="bottomLeft" state="frozen"/>
      <selection pane="bottomLeft" activeCell="T45" sqref="T45"/>
    </sheetView>
  </sheetViews>
  <sheetFormatPr defaultRowHeight="15"/>
  <cols>
    <col min="2" max="2" width="31.85546875" customWidth="1"/>
    <col min="3" max="3" width="31.42578125" customWidth="1"/>
    <col min="4" max="4" width="32.140625" customWidth="1"/>
    <col min="5" max="18" width="27.85546875" bestFit="1" customWidth="1"/>
    <col min="19" max="19" width="22.140625" bestFit="1" customWidth="1"/>
    <col min="20" max="20" width="27.85546875" bestFit="1" customWidth="1"/>
  </cols>
  <sheetData>
    <row r="1" spans="1:21">
      <c r="A1" t="s">
        <v>0</v>
      </c>
      <c r="B1" t="s">
        <v>1</v>
      </c>
      <c r="C1" s="5" t="s">
        <v>2</v>
      </c>
      <c r="D1" s="5" t="s">
        <v>3</v>
      </c>
      <c r="E1" s="7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4" t="s">
        <v>17</v>
      </c>
      <c r="S1" s="3" t="s">
        <v>18</v>
      </c>
      <c r="T1" s="4" t="s">
        <v>19</v>
      </c>
      <c r="U1" t="s">
        <v>20</v>
      </c>
    </row>
    <row r="2" spans="1:21" s="1" customFormat="1" ht="135" customHeight="1">
      <c r="A2" s="1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1" t="s">
        <v>41</v>
      </c>
    </row>
    <row r="3" spans="1:21">
      <c r="A3">
        <v>1</v>
      </c>
      <c r="B3" s="9" t="s">
        <v>42</v>
      </c>
      <c r="C3" s="9" t="s">
        <v>43</v>
      </c>
      <c r="D3" s="9" t="s">
        <v>43</v>
      </c>
      <c r="E3" t="s">
        <v>43</v>
      </c>
      <c r="F3" t="s">
        <v>44</v>
      </c>
      <c r="G3" t="s">
        <v>44</v>
      </c>
      <c r="H3" t="s">
        <v>44</v>
      </c>
      <c r="I3" t="s">
        <v>45</v>
      </c>
      <c r="J3" t="s">
        <v>46</v>
      </c>
      <c r="K3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>
        <v>74</v>
      </c>
    </row>
    <row r="4" spans="1:21">
      <c r="A4">
        <v>2</v>
      </c>
      <c r="B4" t="s">
        <v>42</v>
      </c>
      <c r="C4" t="s">
        <v>46</v>
      </c>
      <c r="D4" t="s">
        <v>46</v>
      </c>
      <c r="E4" t="s">
        <v>45</v>
      </c>
      <c r="F4" t="s">
        <v>46</v>
      </c>
      <c r="G4" t="s">
        <v>46</v>
      </c>
      <c r="H4" t="s">
        <v>47</v>
      </c>
      <c r="I4" t="s">
        <v>46</v>
      </c>
      <c r="J4" t="s">
        <v>46</v>
      </c>
      <c r="K4" t="s">
        <v>45</v>
      </c>
      <c r="L4" t="s">
        <v>46</v>
      </c>
      <c r="M4" t="s">
        <v>46</v>
      </c>
      <c r="N4" t="s">
        <v>46</v>
      </c>
      <c r="O4" t="s">
        <v>45</v>
      </c>
      <c r="P4" t="s">
        <v>46</v>
      </c>
      <c r="Q4" t="s">
        <v>46</v>
      </c>
      <c r="R4" t="s">
        <v>46</v>
      </c>
      <c r="S4" t="s">
        <v>46</v>
      </c>
      <c r="T4" t="s">
        <v>44</v>
      </c>
      <c r="U4">
        <v>68</v>
      </c>
    </row>
    <row r="5" spans="1:21">
      <c r="A5">
        <v>3</v>
      </c>
      <c r="B5" t="s">
        <v>42</v>
      </c>
      <c r="C5" t="s">
        <v>44</v>
      </c>
      <c r="D5" t="s">
        <v>46</v>
      </c>
      <c r="E5" t="s">
        <v>44</v>
      </c>
      <c r="F5" t="s">
        <v>44</v>
      </c>
      <c r="G5" t="s">
        <v>44</v>
      </c>
      <c r="H5" t="s">
        <v>46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45</v>
      </c>
      <c r="O5" t="s">
        <v>46</v>
      </c>
      <c r="P5" t="s">
        <v>46</v>
      </c>
      <c r="Q5" t="s">
        <v>46</v>
      </c>
      <c r="R5" t="s">
        <v>46</v>
      </c>
      <c r="S5" t="s">
        <v>44</v>
      </c>
      <c r="T5" t="s">
        <v>44</v>
      </c>
      <c r="U5">
        <v>81</v>
      </c>
    </row>
    <row r="6" spans="1:21">
      <c r="A6">
        <v>4</v>
      </c>
      <c r="B6" t="s">
        <v>42</v>
      </c>
      <c r="C6" t="s">
        <v>46</v>
      </c>
      <c r="D6" t="s">
        <v>46</v>
      </c>
      <c r="E6" t="s">
        <v>46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45</v>
      </c>
      <c r="Q6" t="s">
        <v>46</v>
      </c>
      <c r="R6" t="s">
        <v>44</v>
      </c>
      <c r="S6" t="s">
        <v>46</v>
      </c>
      <c r="T6" t="s">
        <v>46</v>
      </c>
      <c r="U6">
        <v>72</v>
      </c>
    </row>
    <row r="7" spans="1:21">
      <c r="A7">
        <v>6</v>
      </c>
      <c r="B7" t="s">
        <v>42</v>
      </c>
      <c r="C7" s="9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46</v>
      </c>
      <c r="J7" t="s">
        <v>44</v>
      </c>
      <c r="K7" t="s">
        <v>46</v>
      </c>
      <c r="L7" t="s">
        <v>46</v>
      </c>
      <c r="M7" t="s">
        <v>46</v>
      </c>
      <c r="N7" t="s">
        <v>44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44</v>
      </c>
      <c r="U7">
        <v>80</v>
      </c>
    </row>
    <row r="8" spans="1:21">
      <c r="A8">
        <v>7</v>
      </c>
      <c r="B8" t="s">
        <v>42</v>
      </c>
      <c r="U8" t="s">
        <v>21</v>
      </c>
    </row>
    <row r="9" spans="1:21">
      <c r="A9">
        <v>8</v>
      </c>
      <c r="B9" t="s">
        <v>42</v>
      </c>
      <c r="C9" t="s">
        <v>46</v>
      </c>
      <c r="D9" t="s">
        <v>44</v>
      </c>
      <c r="E9" t="s">
        <v>46</v>
      </c>
      <c r="F9" t="s">
        <v>44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47</v>
      </c>
      <c r="N9" t="s">
        <v>47</v>
      </c>
      <c r="O9" t="s">
        <v>47</v>
      </c>
      <c r="P9" t="s">
        <v>47</v>
      </c>
      <c r="Q9" t="s">
        <v>46</v>
      </c>
      <c r="R9" t="s">
        <v>44</v>
      </c>
      <c r="S9" t="s">
        <v>46</v>
      </c>
      <c r="T9" t="s">
        <v>46</v>
      </c>
      <c r="U9">
        <v>67</v>
      </c>
    </row>
    <row r="10" spans="1:21">
      <c r="A10">
        <v>9</v>
      </c>
      <c r="B10" t="s">
        <v>42</v>
      </c>
      <c r="C10" t="s">
        <v>46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46</v>
      </c>
      <c r="L10" t="s">
        <v>44</v>
      </c>
      <c r="M10" t="s">
        <v>44</v>
      </c>
      <c r="N10" t="s">
        <v>44</v>
      </c>
      <c r="O10" t="s">
        <v>45</v>
      </c>
      <c r="P10" t="s">
        <v>45</v>
      </c>
      <c r="Q10" t="s">
        <v>44</v>
      </c>
      <c r="R10" t="s">
        <v>44</v>
      </c>
      <c r="S10" t="s">
        <v>44</v>
      </c>
      <c r="T10" t="s">
        <v>44</v>
      </c>
      <c r="U10">
        <v>84</v>
      </c>
    </row>
    <row r="11" spans="1:21">
      <c r="A11">
        <v>10</v>
      </c>
      <c r="B11" t="s">
        <v>42</v>
      </c>
      <c r="C11" t="s">
        <v>44</v>
      </c>
      <c r="D11" t="s">
        <v>44</v>
      </c>
      <c r="E11" t="s">
        <v>44</v>
      </c>
      <c r="F11" t="s">
        <v>46</v>
      </c>
      <c r="G11" t="s">
        <v>44</v>
      </c>
      <c r="H11" t="s">
        <v>46</v>
      </c>
      <c r="I11" t="s">
        <v>44</v>
      </c>
      <c r="J11" t="s">
        <v>44</v>
      </c>
      <c r="K11" t="s">
        <v>44</v>
      </c>
      <c r="L11" t="s">
        <v>44</v>
      </c>
      <c r="M11" t="s">
        <v>46</v>
      </c>
      <c r="N11" t="s">
        <v>43</v>
      </c>
      <c r="O11" t="s">
        <v>44</v>
      </c>
      <c r="P11" t="s">
        <v>43</v>
      </c>
      <c r="Q11" t="s">
        <v>44</v>
      </c>
      <c r="R11" t="s">
        <v>44</v>
      </c>
      <c r="S11" t="s">
        <v>44</v>
      </c>
      <c r="T11" t="s">
        <v>44</v>
      </c>
      <c r="U11">
        <v>79</v>
      </c>
    </row>
    <row r="12" spans="1:21">
      <c r="A12">
        <v>11</v>
      </c>
      <c r="B12" t="s">
        <v>42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47</v>
      </c>
      <c r="O12" t="s">
        <v>47</v>
      </c>
      <c r="P12" t="s">
        <v>46</v>
      </c>
      <c r="Q12" t="s">
        <v>46</v>
      </c>
      <c r="R12" t="s">
        <v>46</v>
      </c>
      <c r="S12" t="s">
        <v>46</v>
      </c>
      <c r="U12">
        <v>64</v>
      </c>
    </row>
    <row r="13" spans="1:21">
      <c r="A13">
        <v>12</v>
      </c>
      <c r="B13" t="s">
        <v>42</v>
      </c>
      <c r="C13" s="9" t="s">
        <v>43</v>
      </c>
      <c r="D13" t="s">
        <v>46</v>
      </c>
      <c r="E13" t="s">
        <v>46</v>
      </c>
      <c r="F13" t="s">
        <v>46</v>
      </c>
      <c r="G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46</v>
      </c>
      <c r="R13" t="s">
        <v>46</v>
      </c>
      <c r="S13" t="s">
        <v>46</v>
      </c>
      <c r="T13" t="s">
        <v>46</v>
      </c>
      <c r="U13">
        <v>51</v>
      </c>
    </row>
    <row r="14" spans="1:21">
      <c r="A14">
        <v>13</v>
      </c>
      <c r="B14" t="s">
        <v>42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>
        <v>72</v>
      </c>
    </row>
    <row r="15" spans="1:21">
      <c r="A15">
        <v>15</v>
      </c>
      <c r="B15" t="s">
        <v>42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>
        <v>90</v>
      </c>
    </row>
    <row r="16" spans="1:21">
      <c r="A16">
        <v>17</v>
      </c>
      <c r="B16" t="s">
        <v>42</v>
      </c>
      <c r="C16" s="9" t="s">
        <v>43</v>
      </c>
      <c r="D16" t="s">
        <v>43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45</v>
      </c>
      <c r="Q16" t="s">
        <v>44</v>
      </c>
      <c r="R16" t="s">
        <v>44</v>
      </c>
      <c r="S16" t="s">
        <v>44</v>
      </c>
      <c r="T16" t="s">
        <v>44</v>
      </c>
      <c r="U16">
        <v>80</v>
      </c>
    </row>
    <row r="17" spans="1:21">
      <c r="A17">
        <v>18</v>
      </c>
      <c r="B17" t="s">
        <v>42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>
        <v>90</v>
      </c>
    </row>
    <row r="18" spans="1:21">
      <c r="A18">
        <v>19</v>
      </c>
      <c r="B18" t="s">
        <v>42</v>
      </c>
      <c r="C18" t="s">
        <v>44</v>
      </c>
      <c r="D18" t="s">
        <v>46</v>
      </c>
      <c r="E18" t="s">
        <v>44</v>
      </c>
      <c r="F18" t="s">
        <v>46</v>
      </c>
      <c r="G18" t="s">
        <v>44</v>
      </c>
      <c r="H18" t="s">
        <v>44</v>
      </c>
      <c r="I18" t="s">
        <v>44</v>
      </c>
      <c r="J18" t="s">
        <v>44</v>
      </c>
      <c r="K18" t="s">
        <v>46</v>
      </c>
      <c r="L18" t="s">
        <v>44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44</v>
      </c>
      <c r="T18" t="s">
        <v>44</v>
      </c>
      <c r="U18">
        <v>81</v>
      </c>
    </row>
    <row r="19" spans="1:21">
      <c r="A19">
        <v>22</v>
      </c>
      <c r="B19" t="s">
        <v>42</v>
      </c>
      <c r="C19" t="s">
        <v>46</v>
      </c>
      <c r="D19" t="s">
        <v>44</v>
      </c>
      <c r="E19" t="s">
        <v>44</v>
      </c>
      <c r="F19" t="s">
        <v>46</v>
      </c>
      <c r="G19" t="s">
        <v>44</v>
      </c>
      <c r="H19" t="s">
        <v>44</v>
      </c>
      <c r="I19" t="s">
        <v>44</v>
      </c>
      <c r="J19" t="s">
        <v>46</v>
      </c>
      <c r="K19" t="s">
        <v>46</v>
      </c>
      <c r="L19" t="s">
        <v>45</v>
      </c>
      <c r="M19" t="s">
        <v>46</v>
      </c>
      <c r="N19" t="s">
        <v>46</v>
      </c>
      <c r="O19" t="s">
        <v>45</v>
      </c>
      <c r="P19" t="s">
        <v>45</v>
      </c>
      <c r="Q19" t="s">
        <v>44</v>
      </c>
      <c r="R19" t="s">
        <v>45</v>
      </c>
      <c r="S19" t="s">
        <v>46</v>
      </c>
      <c r="T19" t="s">
        <v>45</v>
      </c>
      <c r="U19">
        <v>73</v>
      </c>
    </row>
    <row r="20" spans="1:21">
      <c r="A20">
        <v>23</v>
      </c>
      <c r="B20" t="s">
        <v>42</v>
      </c>
      <c r="C20" t="s">
        <v>46</v>
      </c>
      <c r="D20" t="s">
        <v>46</v>
      </c>
      <c r="E20" t="s">
        <v>46</v>
      </c>
      <c r="F20" t="s">
        <v>45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>
        <v>51</v>
      </c>
    </row>
    <row r="21" spans="1:21">
      <c r="A21">
        <v>24</v>
      </c>
      <c r="B21" t="s">
        <v>42</v>
      </c>
      <c r="C21" t="s">
        <v>44</v>
      </c>
      <c r="D21" t="s">
        <v>44</v>
      </c>
      <c r="E21" t="s">
        <v>44</v>
      </c>
      <c r="F21" t="s">
        <v>44</v>
      </c>
      <c r="G21" t="s">
        <v>46</v>
      </c>
      <c r="H21" t="s">
        <v>45</v>
      </c>
      <c r="I21" t="s">
        <v>46</v>
      </c>
      <c r="J21" t="s">
        <v>44</v>
      </c>
      <c r="K21" t="s">
        <v>44</v>
      </c>
      <c r="L21" t="s">
        <v>46</v>
      </c>
      <c r="M21" t="s">
        <v>46</v>
      </c>
      <c r="N21" t="s">
        <v>45</v>
      </c>
      <c r="O21" t="s">
        <v>45</v>
      </c>
      <c r="P21" t="s">
        <v>45</v>
      </c>
      <c r="Q21" t="s">
        <v>44</v>
      </c>
      <c r="R21" t="s">
        <v>46</v>
      </c>
      <c r="S21" t="s">
        <v>46</v>
      </c>
      <c r="T21" t="s">
        <v>46</v>
      </c>
      <c r="U21">
        <v>75</v>
      </c>
    </row>
    <row r="22" spans="1:21">
      <c r="A22">
        <v>26</v>
      </c>
      <c r="B22" t="s">
        <v>42</v>
      </c>
      <c r="U22" t="s">
        <v>21</v>
      </c>
    </row>
    <row r="23" spans="1:21">
      <c r="A23">
        <v>27</v>
      </c>
      <c r="B23" t="s">
        <v>42</v>
      </c>
      <c r="C23" s="9" t="s">
        <v>43</v>
      </c>
      <c r="D23" t="s">
        <v>46</v>
      </c>
      <c r="E23" t="s">
        <v>44</v>
      </c>
      <c r="F23" t="s">
        <v>44</v>
      </c>
      <c r="G23" t="s">
        <v>46</v>
      </c>
      <c r="H23" t="s">
        <v>44</v>
      </c>
      <c r="I23" t="s">
        <v>44</v>
      </c>
      <c r="J23" t="s">
        <v>44</v>
      </c>
      <c r="K23" t="s">
        <v>46</v>
      </c>
      <c r="L23" t="s">
        <v>44</v>
      </c>
      <c r="M23" t="s">
        <v>45</v>
      </c>
      <c r="N23" t="s">
        <v>46</v>
      </c>
      <c r="O23" t="s">
        <v>44</v>
      </c>
      <c r="P23" t="s">
        <v>44</v>
      </c>
      <c r="Q23" t="s">
        <v>46</v>
      </c>
      <c r="R23" t="s">
        <v>44</v>
      </c>
      <c r="S23" t="s">
        <v>46</v>
      </c>
      <c r="T23" t="s">
        <v>46</v>
      </c>
      <c r="U23">
        <v>77</v>
      </c>
    </row>
    <row r="24" spans="1:21">
      <c r="A24">
        <v>28</v>
      </c>
      <c r="B24" t="s">
        <v>42</v>
      </c>
      <c r="C24" t="s">
        <v>46</v>
      </c>
      <c r="D24" t="s">
        <v>46</v>
      </c>
      <c r="E24" t="s">
        <v>46</v>
      </c>
      <c r="F24" t="s">
        <v>45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45</v>
      </c>
      <c r="Q24" t="s">
        <v>45</v>
      </c>
      <c r="R24" t="s">
        <v>46</v>
      </c>
      <c r="S24" t="s">
        <v>46</v>
      </c>
      <c r="T24" t="s">
        <v>46</v>
      </c>
      <c r="U24">
        <v>60</v>
      </c>
    </row>
    <row r="25" spans="1:21">
      <c r="A25">
        <v>29</v>
      </c>
      <c r="B25" t="s">
        <v>42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46</v>
      </c>
      <c r="R25" t="s">
        <v>44</v>
      </c>
      <c r="S25" t="s">
        <v>44</v>
      </c>
      <c r="T25" t="s">
        <v>46</v>
      </c>
      <c r="U25">
        <v>83</v>
      </c>
    </row>
    <row r="26" spans="1:21">
      <c r="A26">
        <v>30</v>
      </c>
      <c r="B26" t="s">
        <v>42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47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>
        <v>87</v>
      </c>
    </row>
    <row r="27" spans="1:21">
      <c r="A27">
        <v>31</v>
      </c>
      <c r="B27" t="s">
        <v>42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>
        <v>90</v>
      </c>
    </row>
    <row r="28" spans="1:21">
      <c r="A28">
        <v>32</v>
      </c>
      <c r="B28" t="s">
        <v>42</v>
      </c>
      <c r="C28" t="s">
        <v>44</v>
      </c>
      <c r="D28" t="s">
        <v>44</v>
      </c>
      <c r="E28" t="s">
        <v>44</v>
      </c>
      <c r="F28" t="s">
        <v>46</v>
      </c>
      <c r="G28" t="s">
        <v>44</v>
      </c>
      <c r="H28" t="s">
        <v>47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>
        <v>86</v>
      </c>
    </row>
    <row r="29" spans="1:21">
      <c r="A29">
        <v>33</v>
      </c>
      <c r="B29" t="s">
        <v>42</v>
      </c>
      <c r="C29" t="s">
        <v>44</v>
      </c>
      <c r="D29" t="s">
        <v>44</v>
      </c>
      <c r="F29" t="s">
        <v>44</v>
      </c>
      <c r="G29" t="s">
        <v>44</v>
      </c>
      <c r="H29" t="s">
        <v>46</v>
      </c>
      <c r="I29" t="s">
        <v>46</v>
      </c>
      <c r="J29" t="s">
        <v>44</v>
      </c>
      <c r="K29" t="s">
        <v>44</v>
      </c>
      <c r="U29">
        <v>38</v>
      </c>
    </row>
    <row r="30" spans="1:21">
      <c r="A30">
        <v>34</v>
      </c>
      <c r="B30" t="s">
        <v>42</v>
      </c>
      <c r="C30" t="s">
        <v>44</v>
      </c>
      <c r="D30" t="s">
        <v>44</v>
      </c>
      <c r="E30" t="s">
        <v>44</v>
      </c>
      <c r="F30" t="s">
        <v>44</v>
      </c>
      <c r="G30" t="s">
        <v>46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46</v>
      </c>
      <c r="P30" t="s">
        <v>46</v>
      </c>
      <c r="R30" t="s">
        <v>44</v>
      </c>
      <c r="S30" t="s">
        <v>46</v>
      </c>
      <c r="T30" t="s">
        <v>44</v>
      </c>
      <c r="U30">
        <v>76</v>
      </c>
    </row>
    <row r="31" spans="1:21">
      <c r="A31">
        <v>35</v>
      </c>
      <c r="B31" t="s">
        <v>42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46</v>
      </c>
      <c r="K31" t="s">
        <v>46</v>
      </c>
      <c r="L31" t="s">
        <v>44</v>
      </c>
      <c r="M31" t="s">
        <v>45</v>
      </c>
      <c r="N31" t="s">
        <v>46</v>
      </c>
      <c r="O31" t="s">
        <v>44</v>
      </c>
      <c r="P31" t="s">
        <v>45</v>
      </c>
      <c r="Q31" t="s">
        <v>46</v>
      </c>
      <c r="R31" t="s">
        <v>46</v>
      </c>
      <c r="S31" t="s">
        <v>44</v>
      </c>
      <c r="T31" t="s">
        <v>44</v>
      </c>
      <c r="U31">
        <v>81</v>
      </c>
    </row>
    <row r="32" spans="1:21">
      <c r="A32">
        <v>36</v>
      </c>
      <c r="B32" t="s">
        <v>42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>
        <v>90</v>
      </c>
    </row>
    <row r="33" spans="1:21">
      <c r="C33" s="7">
        <v>3.97</v>
      </c>
      <c r="D33" s="7">
        <v>4.21</v>
      </c>
      <c r="E33" s="7">
        <v>4.51</v>
      </c>
      <c r="F33" s="7">
        <v>4.54</v>
      </c>
      <c r="G33" s="7">
        <v>4.5599999999999996</v>
      </c>
      <c r="H33" s="7">
        <v>4.3499999999999996</v>
      </c>
      <c r="I33" s="7">
        <v>4.54</v>
      </c>
      <c r="J33" s="7">
        <v>4.62</v>
      </c>
      <c r="K33" s="7">
        <v>4.42</v>
      </c>
      <c r="L33" s="7">
        <v>4.5199999999999996</v>
      </c>
      <c r="M33" s="7">
        <v>4.22</v>
      </c>
      <c r="N33" s="7">
        <v>4.04</v>
      </c>
      <c r="O33" s="7">
        <v>4</v>
      </c>
      <c r="P33" s="7">
        <v>3.78</v>
      </c>
      <c r="Q33" s="7">
        <v>4.4400000000000004</v>
      </c>
      <c r="R33" s="7">
        <v>4.5199999999999996</v>
      </c>
      <c r="S33" s="7">
        <v>4.5199999999999996</v>
      </c>
      <c r="T33" s="7">
        <v>4.58</v>
      </c>
    </row>
    <row r="34" spans="1:21">
      <c r="A34">
        <v>14</v>
      </c>
      <c r="B34" t="s">
        <v>48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45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>
        <v>71</v>
      </c>
    </row>
    <row r="35" spans="1:21">
      <c r="A35">
        <v>16</v>
      </c>
      <c r="B35" t="s">
        <v>48</v>
      </c>
      <c r="C35" s="9" t="s">
        <v>43</v>
      </c>
      <c r="D35" t="s">
        <v>43</v>
      </c>
      <c r="E35" t="s">
        <v>44</v>
      </c>
      <c r="F35" t="s">
        <v>46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43</v>
      </c>
      <c r="O35" t="s">
        <v>44</v>
      </c>
      <c r="P35" t="s">
        <v>46</v>
      </c>
      <c r="Q35" t="s">
        <v>44</v>
      </c>
      <c r="R35" t="s">
        <v>44</v>
      </c>
      <c r="S35" t="s">
        <v>44</v>
      </c>
      <c r="T35" t="s">
        <v>44</v>
      </c>
      <c r="U35">
        <v>76</v>
      </c>
    </row>
    <row r="36" spans="1:21">
      <c r="A36">
        <v>20</v>
      </c>
      <c r="B36" t="s">
        <v>48</v>
      </c>
      <c r="C36" t="s">
        <v>44</v>
      </c>
      <c r="D36" t="s">
        <v>44</v>
      </c>
      <c r="E36" t="s">
        <v>44</v>
      </c>
      <c r="F36" t="s">
        <v>44</v>
      </c>
      <c r="G36" t="s">
        <v>44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>
        <v>90</v>
      </c>
    </row>
    <row r="37" spans="1:21">
      <c r="A37">
        <v>21</v>
      </c>
      <c r="B37" t="s">
        <v>48</v>
      </c>
      <c r="C37" t="s">
        <v>44</v>
      </c>
      <c r="D37" t="s">
        <v>44</v>
      </c>
      <c r="E37" t="s">
        <v>44</v>
      </c>
      <c r="F37" t="s">
        <v>44</v>
      </c>
      <c r="G37" t="s">
        <v>46</v>
      </c>
      <c r="H37" t="s">
        <v>47</v>
      </c>
      <c r="I37" t="s">
        <v>45</v>
      </c>
      <c r="J37" t="s">
        <v>44</v>
      </c>
      <c r="K37" t="s">
        <v>46</v>
      </c>
      <c r="L37" t="s">
        <v>44</v>
      </c>
      <c r="M37" t="s">
        <v>46</v>
      </c>
      <c r="N37" t="s">
        <v>46</v>
      </c>
      <c r="O37" t="s">
        <v>46</v>
      </c>
      <c r="P37" t="s">
        <v>46</v>
      </c>
      <c r="Q37" t="s">
        <v>44</v>
      </c>
      <c r="R37" t="s">
        <v>45</v>
      </c>
      <c r="S37" t="s">
        <v>46</v>
      </c>
      <c r="T37" t="s">
        <v>46</v>
      </c>
      <c r="U37">
        <v>75</v>
      </c>
    </row>
    <row r="38" spans="1:21" s="7" customFormat="1">
      <c r="C38" s="7">
        <v>3.75</v>
      </c>
      <c r="D38" s="7">
        <v>3</v>
      </c>
      <c r="E38" s="7">
        <v>4.75</v>
      </c>
      <c r="F38" s="7">
        <v>4.5</v>
      </c>
      <c r="G38" s="7">
        <v>4.5</v>
      </c>
      <c r="H38" s="7">
        <v>4</v>
      </c>
      <c r="I38" s="7">
        <v>4.25</v>
      </c>
      <c r="J38" s="7">
        <v>4.75</v>
      </c>
      <c r="K38" s="7">
        <v>4.5</v>
      </c>
      <c r="L38" s="7">
        <v>4.5</v>
      </c>
      <c r="M38" s="7">
        <v>4.5</v>
      </c>
      <c r="N38" s="7">
        <v>3.5</v>
      </c>
      <c r="O38" s="7">
        <v>4.5</v>
      </c>
      <c r="P38" s="7">
        <v>4.25</v>
      </c>
      <c r="Q38" s="7">
        <v>4.75</v>
      </c>
      <c r="R38" s="7">
        <v>4.25</v>
      </c>
      <c r="S38" s="7">
        <v>4.5</v>
      </c>
      <c r="T38" s="7">
        <v>4.5</v>
      </c>
    </row>
    <row r="39" spans="1:21">
      <c r="A39">
        <v>37</v>
      </c>
      <c r="B39" t="s">
        <v>49</v>
      </c>
      <c r="C39" t="s">
        <v>44</v>
      </c>
      <c r="D39" t="s">
        <v>44</v>
      </c>
      <c r="E39" t="s">
        <v>44</v>
      </c>
      <c r="F39" t="s">
        <v>44</v>
      </c>
      <c r="G39" t="s">
        <v>44</v>
      </c>
      <c r="H39" t="s">
        <v>44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>
        <v>90</v>
      </c>
    </row>
    <row r="40" spans="1:21">
      <c r="A40">
        <v>38</v>
      </c>
      <c r="B40" t="s">
        <v>49</v>
      </c>
      <c r="C40" t="s">
        <v>46</v>
      </c>
      <c r="D40" t="s">
        <v>44</v>
      </c>
      <c r="E40" t="s">
        <v>44</v>
      </c>
      <c r="F40" t="s">
        <v>44</v>
      </c>
      <c r="G40" t="s">
        <v>44</v>
      </c>
      <c r="H40" t="s">
        <v>44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>
        <v>89</v>
      </c>
    </row>
    <row r="41" spans="1:21" s="7" customFormat="1">
      <c r="C41" s="7">
        <v>4.5</v>
      </c>
      <c r="D41" s="7">
        <v>5</v>
      </c>
      <c r="E41" s="7">
        <v>5</v>
      </c>
      <c r="F41" s="7">
        <v>5</v>
      </c>
      <c r="G41" s="7">
        <v>5</v>
      </c>
      <c r="H41" s="7">
        <v>5</v>
      </c>
      <c r="I41" s="7">
        <v>5</v>
      </c>
      <c r="J41" s="7">
        <v>5</v>
      </c>
      <c r="K41" s="7">
        <v>5</v>
      </c>
      <c r="L41" s="7">
        <v>5</v>
      </c>
      <c r="M41" s="7">
        <v>5</v>
      </c>
      <c r="N41" s="7">
        <v>5</v>
      </c>
      <c r="O41" s="7">
        <v>5</v>
      </c>
      <c r="P41" s="7">
        <v>5</v>
      </c>
      <c r="Q41" s="7">
        <v>5</v>
      </c>
      <c r="R41" s="7">
        <v>5</v>
      </c>
      <c r="S41" s="7">
        <v>5</v>
      </c>
      <c r="T41" s="7">
        <v>5</v>
      </c>
    </row>
    <row r="42" spans="1:21">
      <c r="A42">
        <v>5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t="s">
        <v>45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44</v>
      </c>
      <c r="S42" t="s">
        <v>46</v>
      </c>
      <c r="T42" t="s">
        <v>46</v>
      </c>
      <c r="U42">
        <v>72</v>
      </c>
    </row>
    <row r="43" spans="1:21">
      <c r="A43">
        <v>25</v>
      </c>
      <c r="C43" t="s">
        <v>46</v>
      </c>
      <c r="D43" t="s">
        <v>46</v>
      </c>
      <c r="E43" t="s">
        <v>46</v>
      </c>
      <c r="F43" t="s">
        <v>46</v>
      </c>
      <c r="G43" t="s">
        <v>46</v>
      </c>
      <c r="H43" t="s">
        <v>46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46</v>
      </c>
      <c r="U43">
        <v>72</v>
      </c>
    </row>
    <row r="44" spans="1:21">
      <c r="A44" t="s">
        <v>21</v>
      </c>
      <c r="B44" s="10" t="s">
        <v>50</v>
      </c>
      <c r="C44" s="6">
        <v>4.08</v>
      </c>
      <c r="D44" s="6">
        <v>4.3</v>
      </c>
      <c r="E44" s="7">
        <v>4.54</v>
      </c>
      <c r="F44" s="7">
        <v>4.53</v>
      </c>
      <c r="G44" s="7">
        <v>4.54</v>
      </c>
      <c r="H44" s="6">
        <v>4.32</v>
      </c>
      <c r="I44" s="7">
        <v>4.47</v>
      </c>
      <c r="J44" s="7">
        <v>4.62</v>
      </c>
      <c r="K44" s="7">
        <v>4.4400000000000004</v>
      </c>
      <c r="L44" s="7">
        <v>4.51</v>
      </c>
      <c r="M44" s="6">
        <v>4.29</v>
      </c>
      <c r="N44" s="6">
        <v>4.0199999999999996</v>
      </c>
      <c r="O44" s="6">
        <v>4.12</v>
      </c>
      <c r="P44" s="6">
        <v>3.9140000000000001</v>
      </c>
      <c r="Q44" s="7">
        <v>4.4800000000000004</v>
      </c>
      <c r="R44" s="7">
        <v>4.51</v>
      </c>
      <c r="S44" s="8">
        <v>4.5140000000000002</v>
      </c>
      <c r="T44" s="7">
        <v>4.5599999999999996</v>
      </c>
      <c r="U44">
        <v>72</v>
      </c>
    </row>
    <row r="45" spans="1:21">
      <c r="A45" t="s">
        <v>21</v>
      </c>
      <c r="E45" s="11">
        <f>SUM(C44+D44+E44)/3</f>
        <v>4.3066666666666658</v>
      </c>
      <c r="K45" s="11">
        <f>SUM(F44:K44)/6</f>
        <v>4.4866666666666672</v>
      </c>
      <c r="Q45" s="11">
        <f>SUM(L44:Q44)/6</f>
        <v>4.2223333333333342</v>
      </c>
      <c r="T45" s="11">
        <f>SUM(R44:T44)/3</f>
        <v>4.5279999999999996</v>
      </c>
    </row>
    <row r="47" spans="1:21">
      <c r="C47" t="s">
        <v>21</v>
      </c>
    </row>
    <row r="48" spans="1:21">
      <c r="C48" t="s">
        <v>21</v>
      </c>
      <c r="D48" t="s">
        <v>21</v>
      </c>
    </row>
    <row r="49" spans="3:3">
      <c r="C49" t="s">
        <v>21</v>
      </c>
    </row>
    <row r="50" spans="3:3">
      <c r="C50" t="s">
        <v>21</v>
      </c>
    </row>
    <row r="51" spans="3:3">
      <c r="C51" t="s">
        <v>21</v>
      </c>
    </row>
    <row r="52" spans="3:3">
      <c r="C52" t="s">
        <v>21</v>
      </c>
    </row>
  </sheetData>
  <sortState xmlns:xlrd2="http://schemas.microsoft.com/office/spreadsheetml/2017/richdata2" ref="A4:U43">
    <sortCondition ref="B3:B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8E31-ECD5-4B73-85AF-5A90A14FC87E}">
  <dimension ref="E1:E29"/>
  <sheetViews>
    <sheetView topLeftCell="A14" workbookViewId="0">
      <selection activeCell="E30" sqref="E30"/>
    </sheetView>
  </sheetViews>
  <sheetFormatPr defaultRowHeight="15"/>
  <sheetData>
    <row r="1" spans="5:5">
      <c r="E1">
        <v>5</v>
      </c>
    </row>
    <row r="2" spans="5:5">
      <c r="E2">
        <v>4</v>
      </c>
    </row>
    <row r="3" spans="5:5">
      <c r="E3">
        <v>5</v>
      </c>
    </row>
    <row r="4" spans="5:5">
      <c r="E4">
        <v>4</v>
      </c>
    </row>
    <row r="5" spans="5:5">
      <c r="E5">
        <v>4</v>
      </c>
    </row>
    <row r="6" spans="5:5">
      <c r="E6">
        <v>4</v>
      </c>
    </row>
    <row r="7" spans="5:5">
      <c r="E7">
        <v>5</v>
      </c>
    </row>
    <row r="8" spans="5:5">
      <c r="E8">
        <v>5</v>
      </c>
    </row>
    <row r="9" spans="5:5">
      <c r="E9">
        <v>4</v>
      </c>
    </row>
    <row r="10" spans="5:5">
      <c r="E10">
        <v>4</v>
      </c>
    </row>
    <row r="11" spans="5:5">
      <c r="E11">
        <v>4</v>
      </c>
    </row>
    <row r="12" spans="5:5">
      <c r="E12">
        <v>5</v>
      </c>
    </row>
    <row r="13" spans="5:5">
      <c r="E13">
        <v>5</v>
      </c>
    </row>
    <row r="14" spans="5:5">
      <c r="E14">
        <v>5</v>
      </c>
    </row>
    <row r="15" spans="5:5">
      <c r="E15">
        <v>5</v>
      </c>
    </row>
    <row r="16" spans="5:5">
      <c r="E16">
        <v>3</v>
      </c>
    </row>
    <row r="17" spans="5:5">
      <c r="E17">
        <v>4</v>
      </c>
    </row>
    <row r="18" spans="5:5">
      <c r="E18">
        <v>4</v>
      </c>
    </row>
    <row r="19" spans="5:5">
      <c r="E19">
        <v>5</v>
      </c>
    </row>
    <row r="20" spans="5:5">
      <c r="E20">
        <v>3</v>
      </c>
    </row>
    <row r="21" spans="5:5">
      <c r="E21">
        <v>5</v>
      </c>
    </row>
    <row r="22" spans="5:5">
      <c r="E22">
        <v>5</v>
      </c>
    </row>
    <row r="23" spans="5:5">
      <c r="E23">
        <v>5</v>
      </c>
    </row>
    <row r="24" spans="5:5">
      <c r="E24">
        <v>5</v>
      </c>
    </row>
    <row r="25" spans="5:5">
      <c r="E25">
        <v>5</v>
      </c>
    </row>
    <row r="26" spans="5:5">
      <c r="E26">
        <v>5</v>
      </c>
    </row>
    <row r="27" spans="5:5">
      <c r="E27">
        <v>5</v>
      </c>
    </row>
    <row r="28" spans="5:5">
      <c r="E28">
        <f>SUM(E1:E27)</f>
        <v>122</v>
      </c>
    </row>
    <row r="29" spans="5:5">
      <c r="E29">
        <f>E28/27</f>
        <v>4.5185185185185182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Gail M Godwin</cp:lastModifiedBy>
  <cp:revision/>
  <dcterms:created xsi:type="dcterms:W3CDTF">2025-01-27T13:08:56Z</dcterms:created>
  <dcterms:modified xsi:type="dcterms:W3CDTF">2025-08-12T23:37:13Z</dcterms:modified>
  <cp:category/>
  <cp:contentStatus/>
</cp:coreProperties>
</file>